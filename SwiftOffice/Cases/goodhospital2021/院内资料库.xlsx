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427"/>
  <workbookPr codeName="ThisWorkbook"/>
  <mc:AlternateContent xmlns:mc="http://schemas.openxmlformats.org/markup-compatibility/2006">
    <mc:Choice Requires="x15">
      <x15ac:absPath xmlns:x15ac="http://schemas.microsoft.com/office/spreadsheetml/2010/11/ac" url="E:\git\hqcoffee\cases\2022ybrmyy\"/>
    </mc:Choice>
  </mc:AlternateContent>
  <xr:revisionPtr revIDLastSave="0" documentId="8_{CADB6757-E620-4AFC-816C-FA13B8CA4608}" xr6:coauthVersionLast="47" xr6:coauthVersionMax="47" xr10:uidLastSave="{00000000-0000-0000-0000-000000000000}"/>
  <bookViews>
    <workbookView xWindow="2880" yWindow="0" windowWidth="16000" windowHeight="10200" activeTab="2" xr2:uid="{00000000-000D-0000-FFFF-FFFF00000000}"/>
  </bookViews>
  <sheets>
    <sheet name="医院" sheetId="1" r:id="rId1"/>
    <sheet name="大心血管科" sheetId="2" r:id="rId2"/>
    <sheet name="心血管内科" sheetId="3" r:id="rId3"/>
    <sheet name="心脏外科" sheetId="4" r:id="rId4"/>
    <sheet name="大骨科" sheetId="5" r:id="rId5"/>
    <sheet name="脊柱外科" sheetId="6" r:id="rId6"/>
    <sheet name="创伤骨科" sheetId="7" r:id="rId7"/>
    <sheet name="关节骨病科" sheetId="8" r:id="rId8"/>
    <sheet name="妇科" sheetId="9" r:id="rId9"/>
    <sheet name="头颈乳腺外科" sheetId="10" r:id="rId10"/>
    <sheet name="胃肠外科" sheetId="11" r:id="rId11"/>
    <sheet name="胸外科" sheetId="12" r:id="rId12"/>
    <sheet name="神经外科" sheetId="13" r:id="rId13"/>
    <sheet name="肝胆外科" sheetId="14" r:id="rId14"/>
    <sheet name="泌尿外科" sheetId="15" r:id="rId15"/>
    <sheet name="麻醉科" sheetId="16" r:id="rId16"/>
    <sheet name="呼吸内科" sheetId="17" r:id="rId17"/>
    <sheet name="消化内科" sheetId="18" r:id="rId18"/>
    <sheet name="康复医学科" sheetId="19" r:id="rId19"/>
    <sheet name="血液内科" sheetId="20" r:id="rId20"/>
    <sheet name="神经内科" sheetId="21" r:id="rId21"/>
    <sheet name="放射治疗科" sheetId="22" r:id="rId22"/>
    <sheet name="肾内科" sheetId="23" r:id="rId23"/>
    <sheet name="重症医学科" sheetId="24" r:id="rId24"/>
    <sheet name="内分泌内科" sheetId="25" r:id="rId25"/>
    <sheet name="眼科" sheetId="26" r:id="rId26"/>
    <sheet name="耳鼻喉科" sheetId="27" r:id="rId27"/>
    <sheet name="疼痛科" sheetId="28" r:id="rId28"/>
    <sheet name="口腔科" sheetId="29" r:id="rId29"/>
    <sheet name="烧伤整形科" sheetId="30" r:id="rId30"/>
    <sheet name="肛肠科" sheetId="31" r:id="rId31"/>
    <sheet name="产科" sheetId="32" r:id="rId32"/>
    <sheet name="小儿外科" sheetId="33" r:id="rId33"/>
    <sheet name="中医科" sheetId="34" r:id="rId34"/>
    <sheet name="全科医学科" sheetId="35" r:id="rId35"/>
    <sheet name="肿瘤内科" sheetId="36" r:id="rId36"/>
    <sheet name="皮肤科" sheetId="37" r:id="rId37"/>
    <sheet name="急诊科" sheetId="38" r:id="rId38"/>
    <sheet name="风湿免疫内科" sheetId="39" r:id="rId39"/>
    <sheet name="市区分院" sheetId="40" r:id="rId40"/>
    <sheet name="儿科" sheetId="41" r:id="rId41"/>
    <sheet name="新生儿科" sheetId="42" r:id="rId42"/>
    <sheet name="儿童康复科" sheetId="43" r:id="rId43"/>
    <sheet name="生殖中心" sheetId="44" r:id="rId44"/>
  </sheets>
  <externalReferences>
    <externalReference r:id="rId45"/>
    <externalReference r:id="rId46"/>
  </externalReferences>
  <definedNames>
    <definedName name="_xlnm._FilterDatabase" localSheetId="31" hidden="1">产科!$A$1:$H$101</definedName>
    <definedName name="_xlnm._FilterDatabase" localSheetId="6" hidden="1">创伤骨科!$A$1:$H$101</definedName>
    <definedName name="_xlnm._FilterDatabase" localSheetId="4" hidden="1">大骨科!$A$1:$H$101</definedName>
    <definedName name="_xlnm._FilterDatabase" localSheetId="1" hidden="1">大心血管科!$A$1:$H$101</definedName>
    <definedName name="_xlnm._FilterDatabase" localSheetId="40" hidden="1">儿科!$A$1:$H$101</definedName>
    <definedName name="_xlnm._FilterDatabase" localSheetId="42" hidden="1">儿童康复科!$A$1:$H$101</definedName>
    <definedName name="_xlnm._FilterDatabase" localSheetId="26" hidden="1">耳鼻喉科!$A$1:$H$101</definedName>
    <definedName name="_xlnm._FilterDatabase" localSheetId="21" hidden="1">放射治疗科!$A$1:$H$101</definedName>
    <definedName name="_xlnm._FilterDatabase" localSheetId="38" hidden="1">风湿免疫内科!$A$1:$H$101</definedName>
    <definedName name="_xlnm._FilterDatabase" localSheetId="8" hidden="1">妇科!$A$1:$H$101</definedName>
    <definedName name="_xlnm._FilterDatabase" localSheetId="13" hidden="1">肝胆外科!$A$1:$H$101</definedName>
    <definedName name="_xlnm._FilterDatabase" localSheetId="30" hidden="1">肛肠科!$A$1:$H$101</definedName>
    <definedName name="_xlnm._FilterDatabase" localSheetId="7" hidden="1">关节骨病科!$A$1:$H$101</definedName>
    <definedName name="_xlnm._FilterDatabase" localSheetId="16" hidden="1">呼吸内科!$A$1:$H$101</definedName>
    <definedName name="_xlnm._FilterDatabase" localSheetId="37" hidden="1">急诊科!$A$1:$H$101</definedName>
    <definedName name="_xlnm._FilterDatabase" localSheetId="5" hidden="1">脊柱外科!$A$1:$H$101</definedName>
    <definedName name="_xlnm._FilterDatabase" localSheetId="18" hidden="1">康复医学科!$A$1:$H$101</definedName>
    <definedName name="_xlnm._FilterDatabase" localSheetId="28" hidden="1">口腔科!$A$1:$H$101</definedName>
    <definedName name="_xlnm._FilterDatabase" localSheetId="15" hidden="1">麻醉科!$A$1:$H$101</definedName>
    <definedName name="_xlnm._FilterDatabase" localSheetId="14" hidden="1">泌尿外科!$A$1:$H$101</definedName>
    <definedName name="_xlnm._FilterDatabase" localSheetId="24" hidden="1">内分泌内科!$A$1:$H$101</definedName>
    <definedName name="_xlnm._FilterDatabase" localSheetId="36" hidden="1">皮肤科!$A$1:$H$101</definedName>
    <definedName name="_xlnm._FilterDatabase" localSheetId="34" hidden="1">全科医学科!$A$1:$H$101</definedName>
    <definedName name="_xlnm._FilterDatabase" localSheetId="29" hidden="1">烧伤整形科!$A$1:$H$101</definedName>
    <definedName name="_xlnm._FilterDatabase" localSheetId="20" hidden="1">神经内科!$A$1:$H$101</definedName>
    <definedName name="_xlnm._FilterDatabase" localSheetId="12" hidden="1">神经外科!$A$1:$H$101</definedName>
    <definedName name="_xlnm._FilterDatabase" localSheetId="22" hidden="1">肾内科!$A$1:$H$101</definedName>
    <definedName name="_xlnm._FilterDatabase" localSheetId="39" hidden="1">市区分院!$A$1:$H$101</definedName>
    <definedName name="_xlnm._FilterDatabase" localSheetId="27" hidden="1">疼痛科!$A$1:$H$101</definedName>
    <definedName name="_xlnm._FilterDatabase" localSheetId="9" hidden="1">头颈乳腺外科!$A$1:$H$101</definedName>
    <definedName name="_xlnm._FilterDatabase" localSheetId="10" hidden="1">胃肠外科!$A$1:$H$101</definedName>
    <definedName name="_xlnm._FilterDatabase" localSheetId="17" hidden="1">消化内科!$A$1:$H$101</definedName>
    <definedName name="_xlnm._FilterDatabase" localSheetId="32" hidden="1">小儿外科!$A$1:$H$101</definedName>
    <definedName name="_xlnm._FilterDatabase" localSheetId="2" hidden="1">心血管内科!$A$1:$H$101</definedName>
    <definedName name="_xlnm._FilterDatabase" localSheetId="3" hidden="1">心脏外科!$A$1:$H$101</definedName>
    <definedName name="_xlnm._FilterDatabase" localSheetId="41" hidden="1">新生儿科!$A$1:$H$101</definedName>
    <definedName name="_xlnm._FilterDatabase" localSheetId="11" hidden="1">胸外科!$A$1:$H$101</definedName>
    <definedName name="_xlnm._FilterDatabase" localSheetId="19" hidden="1">血液内科!$A$1:$H$101</definedName>
    <definedName name="_xlnm._FilterDatabase" localSheetId="25" hidden="1">眼科!$A$1:$H$101</definedName>
    <definedName name="_xlnm._FilterDatabase" localSheetId="0" hidden="1">医院!$A$1:$H$80</definedName>
    <definedName name="_xlnm._FilterDatabase" localSheetId="33" hidden="1">中医科!$A$1:$H$101</definedName>
    <definedName name="_xlnm._FilterDatabase" localSheetId="35" hidden="1">肿瘤内科!$A$1:$H$101</definedName>
    <definedName name="_xlnm._FilterDatabase" localSheetId="23" hidden="1">重症医学科!$A$1:$H$101</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F86" i="43" l="1"/>
  <c r="E86" i="43"/>
  <c r="D86" i="43"/>
  <c r="F85" i="43"/>
  <c r="E85" i="43"/>
  <c r="D85" i="43"/>
  <c r="F84" i="43"/>
  <c r="E84" i="43"/>
  <c r="D84" i="43"/>
  <c r="F83" i="43"/>
  <c r="E83" i="43"/>
  <c r="D83" i="43"/>
  <c r="F82" i="43"/>
  <c r="E82" i="43"/>
  <c r="D82" i="43"/>
  <c r="F81" i="43"/>
  <c r="E81" i="43"/>
  <c r="D81" i="43"/>
  <c r="F80" i="43"/>
  <c r="E80" i="43"/>
  <c r="D80" i="43"/>
  <c r="F79" i="43"/>
  <c r="E79" i="43"/>
  <c r="D79" i="43"/>
  <c r="F78" i="43"/>
  <c r="E78" i="43"/>
  <c r="D78" i="43"/>
  <c r="F77" i="43"/>
  <c r="E77" i="43"/>
  <c r="D77" i="43"/>
  <c r="F76" i="43"/>
  <c r="E76" i="43"/>
  <c r="D76" i="43"/>
  <c r="F75" i="43"/>
  <c r="E75" i="43"/>
  <c r="D75" i="43"/>
  <c r="F74" i="43"/>
  <c r="E74" i="43"/>
  <c r="D74" i="43"/>
  <c r="F73" i="43"/>
  <c r="E73" i="43"/>
  <c r="D73" i="43"/>
  <c r="F72" i="43"/>
  <c r="E72" i="43"/>
  <c r="D72" i="43"/>
  <c r="F22" i="43"/>
  <c r="E22" i="43"/>
  <c r="D22" i="43"/>
  <c r="F21" i="43"/>
  <c r="E21" i="43"/>
  <c r="D21" i="43"/>
  <c r="F86" i="42"/>
  <c r="E86" i="42"/>
  <c r="D86" i="42"/>
  <c r="F85" i="42"/>
  <c r="E85" i="42"/>
  <c r="D85" i="42"/>
  <c r="F84" i="42"/>
  <c r="E84" i="42"/>
  <c r="D84" i="42"/>
  <c r="F83" i="42"/>
  <c r="E83" i="42"/>
  <c r="D83" i="42"/>
  <c r="F82" i="42"/>
  <c r="E82" i="42"/>
  <c r="D82" i="42"/>
  <c r="F81" i="42"/>
  <c r="E81" i="42"/>
  <c r="D81" i="42"/>
  <c r="F80" i="42"/>
  <c r="E80" i="42"/>
  <c r="D80" i="42"/>
  <c r="F79" i="42"/>
  <c r="E79" i="42"/>
  <c r="D79" i="42"/>
  <c r="F78" i="42"/>
  <c r="E78" i="42"/>
  <c r="D78" i="42"/>
  <c r="F77" i="42"/>
  <c r="E77" i="42"/>
  <c r="D77" i="42"/>
  <c r="F76" i="42"/>
  <c r="E76" i="42"/>
  <c r="D76" i="42"/>
  <c r="F75" i="42"/>
  <c r="E75" i="42"/>
  <c r="D75" i="42"/>
  <c r="F74" i="42"/>
  <c r="E74" i="42"/>
  <c r="D74" i="42"/>
  <c r="F73" i="42"/>
  <c r="E73" i="42"/>
  <c r="D73" i="42"/>
  <c r="F72" i="42"/>
  <c r="E72" i="42"/>
  <c r="D72" i="42"/>
  <c r="F22" i="42"/>
  <c r="E22" i="42"/>
  <c r="D22" i="42"/>
  <c r="F21" i="42"/>
  <c r="E21" i="42"/>
  <c r="D21" i="42"/>
  <c r="F86" i="41"/>
  <c r="E86" i="41"/>
  <c r="D86" i="41"/>
  <c r="F85" i="41"/>
  <c r="E85" i="41"/>
  <c r="D85" i="41"/>
  <c r="F84" i="41"/>
  <c r="E84" i="41"/>
  <c r="D84" i="41"/>
  <c r="F83" i="41"/>
  <c r="E83" i="41"/>
  <c r="D83" i="41"/>
  <c r="F82" i="41"/>
  <c r="E82" i="41"/>
  <c r="D82" i="41"/>
  <c r="F81" i="41"/>
  <c r="E81" i="41"/>
  <c r="D81" i="41"/>
  <c r="F80" i="41"/>
  <c r="E80" i="41"/>
  <c r="D80" i="41"/>
  <c r="F79" i="41"/>
  <c r="E79" i="41"/>
  <c r="D79" i="41"/>
  <c r="F78" i="41"/>
  <c r="E78" i="41"/>
  <c r="D78" i="41"/>
  <c r="F77" i="41"/>
  <c r="E77" i="41"/>
  <c r="D77" i="41"/>
  <c r="F76" i="41"/>
  <c r="E76" i="41"/>
  <c r="D76" i="41"/>
  <c r="F75" i="41"/>
  <c r="E75" i="41"/>
  <c r="D75" i="41"/>
  <c r="F74" i="41"/>
  <c r="E74" i="41"/>
  <c r="D74" i="41"/>
  <c r="F73" i="41"/>
  <c r="E73" i="41"/>
  <c r="D73" i="41"/>
  <c r="F72" i="41"/>
  <c r="E72" i="41"/>
  <c r="D72" i="41"/>
  <c r="F22" i="41"/>
  <c r="E22" i="41"/>
  <c r="D22" i="41"/>
  <c r="F21" i="41"/>
  <c r="E21" i="41"/>
  <c r="D21" i="41"/>
  <c r="F86" i="40"/>
  <c r="E86" i="40"/>
  <c r="D86" i="40"/>
  <c r="F85" i="40"/>
  <c r="E85" i="40"/>
  <c r="D85" i="40"/>
  <c r="F84" i="40"/>
  <c r="E84" i="40"/>
  <c r="D84" i="40"/>
  <c r="F83" i="40"/>
  <c r="E83" i="40"/>
  <c r="D83" i="40"/>
  <c r="F82" i="40"/>
  <c r="E82" i="40"/>
  <c r="D82" i="40"/>
  <c r="F81" i="40"/>
  <c r="E81" i="40"/>
  <c r="D81" i="40"/>
  <c r="F80" i="40"/>
  <c r="E80" i="40"/>
  <c r="D80" i="40"/>
  <c r="F79" i="40"/>
  <c r="E79" i="40"/>
  <c r="D79" i="40"/>
  <c r="F78" i="40"/>
  <c r="E78" i="40"/>
  <c r="D78" i="40"/>
  <c r="F77" i="40"/>
  <c r="E77" i="40"/>
  <c r="D77" i="40"/>
  <c r="F76" i="40"/>
  <c r="E76" i="40"/>
  <c r="D76" i="40"/>
  <c r="F75" i="40"/>
  <c r="E75" i="40"/>
  <c r="D75" i="40"/>
  <c r="F74" i="40"/>
  <c r="E74" i="40"/>
  <c r="D74" i="40"/>
  <c r="F73" i="40"/>
  <c r="E73" i="40"/>
  <c r="D73" i="40"/>
  <c r="F72" i="40"/>
  <c r="E72" i="40"/>
  <c r="D72" i="40"/>
  <c r="F22" i="40"/>
  <c r="E22" i="40"/>
  <c r="D22" i="40"/>
  <c r="F21" i="40"/>
  <c r="E21" i="40"/>
  <c r="D21" i="40"/>
  <c r="D14" i="40"/>
  <c r="F86" i="39"/>
  <c r="E86" i="39"/>
  <c r="D86" i="39"/>
  <c r="F85" i="39"/>
  <c r="E85" i="39"/>
  <c r="D85" i="39"/>
  <c r="F84" i="39"/>
  <c r="E84" i="39"/>
  <c r="D84" i="39"/>
  <c r="F83" i="39"/>
  <c r="E83" i="39"/>
  <c r="D83" i="39"/>
  <c r="F82" i="39"/>
  <c r="E82" i="39"/>
  <c r="D82" i="39"/>
  <c r="F81" i="39"/>
  <c r="E81" i="39"/>
  <c r="D81" i="39"/>
  <c r="F80" i="39"/>
  <c r="E80" i="39"/>
  <c r="D80" i="39"/>
  <c r="F79" i="39"/>
  <c r="E79" i="39"/>
  <c r="D79" i="39"/>
  <c r="F78" i="39"/>
  <c r="E78" i="39"/>
  <c r="D78" i="39"/>
  <c r="F77" i="39"/>
  <c r="E77" i="39"/>
  <c r="D77" i="39"/>
  <c r="F76" i="39"/>
  <c r="E76" i="39"/>
  <c r="D76" i="39"/>
  <c r="F75" i="39"/>
  <c r="E75" i="39"/>
  <c r="D75" i="39"/>
  <c r="F74" i="39"/>
  <c r="E74" i="39"/>
  <c r="D74" i="39"/>
  <c r="F73" i="39"/>
  <c r="E73" i="39"/>
  <c r="D73" i="39"/>
  <c r="F72" i="39"/>
  <c r="E72" i="39"/>
  <c r="D72" i="39"/>
  <c r="F22" i="39"/>
  <c r="E22" i="39"/>
  <c r="D22" i="39"/>
  <c r="F21" i="39"/>
  <c r="E21" i="39"/>
  <c r="D21" i="39"/>
  <c r="F86" i="38"/>
  <c r="E86" i="38"/>
  <c r="D86" i="38"/>
  <c r="F85" i="38"/>
  <c r="E85" i="38"/>
  <c r="D85" i="38"/>
  <c r="F84" i="38"/>
  <c r="E84" i="38"/>
  <c r="D84" i="38"/>
  <c r="F83" i="38"/>
  <c r="E83" i="38"/>
  <c r="D83" i="38"/>
  <c r="F82" i="38"/>
  <c r="E82" i="38"/>
  <c r="D82" i="38"/>
  <c r="F81" i="38"/>
  <c r="E81" i="38"/>
  <c r="D81" i="38"/>
  <c r="F80" i="38"/>
  <c r="E80" i="38"/>
  <c r="D80" i="38"/>
  <c r="F79" i="38"/>
  <c r="E79" i="38"/>
  <c r="D79" i="38"/>
  <c r="F78" i="38"/>
  <c r="E78" i="38"/>
  <c r="D78" i="38"/>
  <c r="F77" i="38"/>
  <c r="E77" i="38"/>
  <c r="D77" i="38"/>
  <c r="F76" i="38"/>
  <c r="E76" i="38"/>
  <c r="D76" i="38"/>
  <c r="F75" i="38"/>
  <c r="E75" i="38"/>
  <c r="D75" i="38"/>
  <c r="F74" i="38"/>
  <c r="E74" i="38"/>
  <c r="D74" i="38"/>
  <c r="F73" i="38"/>
  <c r="E73" i="38"/>
  <c r="D73" i="38"/>
  <c r="F72" i="38"/>
  <c r="E72" i="38"/>
  <c r="D72" i="38"/>
  <c r="F22" i="38"/>
  <c r="E22" i="38"/>
  <c r="D22" i="38"/>
  <c r="F21" i="38"/>
  <c r="E21" i="38"/>
  <c r="D21" i="38"/>
  <c r="E14" i="38"/>
  <c r="F86" i="37"/>
  <c r="E86" i="37"/>
  <c r="D86" i="37"/>
  <c r="F85" i="37"/>
  <c r="E85" i="37"/>
  <c r="D85" i="37"/>
  <c r="F84" i="37"/>
  <c r="E84" i="37"/>
  <c r="D84" i="37"/>
  <c r="F83" i="37"/>
  <c r="E83" i="37"/>
  <c r="D83" i="37"/>
  <c r="F82" i="37"/>
  <c r="E82" i="37"/>
  <c r="D82" i="37"/>
  <c r="F81" i="37"/>
  <c r="E81" i="37"/>
  <c r="D81" i="37"/>
  <c r="F80" i="37"/>
  <c r="E80" i="37"/>
  <c r="D80" i="37"/>
  <c r="F79" i="37"/>
  <c r="E79" i="37"/>
  <c r="D79" i="37"/>
  <c r="F78" i="37"/>
  <c r="E78" i="37"/>
  <c r="D78" i="37"/>
  <c r="F77" i="37"/>
  <c r="E77" i="37"/>
  <c r="D77" i="37"/>
  <c r="F76" i="37"/>
  <c r="E76" i="37"/>
  <c r="D76" i="37"/>
  <c r="F75" i="37"/>
  <c r="E75" i="37"/>
  <c r="D75" i="37"/>
  <c r="F74" i="37"/>
  <c r="E74" i="37"/>
  <c r="D74" i="37"/>
  <c r="F73" i="37"/>
  <c r="E73" i="37"/>
  <c r="D73" i="37"/>
  <c r="F72" i="37"/>
  <c r="E72" i="37"/>
  <c r="D72" i="37"/>
  <c r="F22" i="37"/>
  <c r="E22" i="37"/>
  <c r="D22" i="37"/>
  <c r="F21" i="37"/>
  <c r="E21" i="37"/>
  <c r="D21" i="37"/>
  <c r="F86" i="36"/>
  <c r="E86" i="36"/>
  <c r="D86" i="36"/>
  <c r="F85" i="36"/>
  <c r="E85" i="36"/>
  <c r="D85" i="36"/>
  <c r="F84" i="36"/>
  <c r="E84" i="36"/>
  <c r="D84" i="36"/>
  <c r="F83" i="36"/>
  <c r="E83" i="36"/>
  <c r="D83" i="36"/>
  <c r="F82" i="36"/>
  <c r="E82" i="36"/>
  <c r="D82" i="36"/>
  <c r="F81" i="36"/>
  <c r="E81" i="36"/>
  <c r="D81" i="36"/>
  <c r="F80" i="36"/>
  <c r="E80" i="36"/>
  <c r="D80" i="36"/>
  <c r="F79" i="36"/>
  <c r="E79" i="36"/>
  <c r="D79" i="36"/>
  <c r="F78" i="36"/>
  <c r="E78" i="36"/>
  <c r="D78" i="36"/>
  <c r="F77" i="36"/>
  <c r="E77" i="36"/>
  <c r="D77" i="36"/>
  <c r="F76" i="36"/>
  <c r="E76" i="36"/>
  <c r="D76" i="36"/>
  <c r="F75" i="36"/>
  <c r="E75" i="36"/>
  <c r="D75" i="36"/>
  <c r="F74" i="36"/>
  <c r="E74" i="36"/>
  <c r="D74" i="36"/>
  <c r="F73" i="36"/>
  <c r="E73" i="36"/>
  <c r="D73" i="36"/>
  <c r="F72" i="36"/>
  <c r="E72" i="36"/>
  <c r="D72" i="36"/>
  <c r="F22" i="36"/>
  <c r="E22" i="36"/>
  <c r="D22" i="36"/>
  <c r="F21" i="36"/>
  <c r="E21" i="36"/>
  <c r="D21" i="36"/>
  <c r="F86" i="35"/>
  <c r="E86" i="35"/>
  <c r="D86" i="35"/>
  <c r="F85" i="35"/>
  <c r="E85" i="35"/>
  <c r="D85" i="35"/>
  <c r="F84" i="35"/>
  <c r="E84" i="35"/>
  <c r="D84" i="35"/>
  <c r="F83" i="35"/>
  <c r="E83" i="35"/>
  <c r="D83" i="35"/>
  <c r="F82" i="35"/>
  <c r="E82" i="35"/>
  <c r="D82" i="35"/>
  <c r="F81" i="35"/>
  <c r="E81" i="35"/>
  <c r="D81" i="35"/>
  <c r="F80" i="35"/>
  <c r="E80" i="35"/>
  <c r="D80" i="35"/>
  <c r="F79" i="35"/>
  <c r="E79" i="35"/>
  <c r="D79" i="35"/>
  <c r="F78" i="35"/>
  <c r="E78" i="35"/>
  <c r="D78" i="35"/>
  <c r="F77" i="35"/>
  <c r="E77" i="35"/>
  <c r="D77" i="35"/>
  <c r="F76" i="35"/>
  <c r="E76" i="35"/>
  <c r="D76" i="35"/>
  <c r="F75" i="35"/>
  <c r="E75" i="35"/>
  <c r="D75" i="35"/>
  <c r="F74" i="35"/>
  <c r="E74" i="35"/>
  <c r="D74" i="35"/>
  <c r="F73" i="35"/>
  <c r="E73" i="35"/>
  <c r="D73" i="35"/>
  <c r="F72" i="35"/>
  <c r="E72" i="35"/>
  <c r="D72" i="35"/>
  <c r="F22" i="35"/>
  <c r="E22" i="35"/>
  <c r="D22" i="35"/>
  <c r="F21" i="35"/>
  <c r="E21" i="35"/>
  <c r="D21" i="35"/>
  <c r="F14" i="35"/>
  <c r="E14" i="35"/>
  <c r="F86" i="34"/>
  <c r="E86" i="34"/>
  <c r="D86" i="34"/>
  <c r="F85" i="34"/>
  <c r="E85" i="34"/>
  <c r="D85" i="34"/>
  <c r="F84" i="34"/>
  <c r="E84" i="34"/>
  <c r="D84" i="34"/>
  <c r="F83" i="34"/>
  <c r="E83" i="34"/>
  <c r="D83" i="34"/>
  <c r="F82" i="34"/>
  <c r="E82" i="34"/>
  <c r="D82" i="34"/>
  <c r="F81" i="34"/>
  <c r="E81" i="34"/>
  <c r="D81" i="34"/>
  <c r="F80" i="34"/>
  <c r="E80" i="34"/>
  <c r="D80" i="34"/>
  <c r="F79" i="34"/>
  <c r="E79" i="34"/>
  <c r="D79" i="34"/>
  <c r="F78" i="34"/>
  <c r="E78" i="34"/>
  <c r="D78" i="34"/>
  <c r="F77" i="34"/>
  <c r="E77" i="34"/>
  <c r="D77" i="34"/>
  <c r="F76" i="34"/>
  <c r="E76" i="34"/>
  <c r="D76" i="34"/>
  <c r="F75" i="34"/>
  <c r="E75" i="34"/>
  <c r="D75" i="34"/>
  <c r="F74" i="34"/>
  <c r="E74" i="34"/>
  <c r="D74" i="34"/>
  <c r="F73" i="34"/>
  <c r="E73" i="34"/>
  <c r="D73" i="34"/>
  <c r="F72" i="34"/>
  <c r="E72" i="34"/>
  <c r="D72" i="34"/>
  <c r="F22" i="34"/>
  <c r="E22" i="34"/>
  <c r="D22" i="34"/>
  <c r="F21" i="34"/>
  <c r="E21" i="34"/>
  <c r="D21" i="34"/>
  <c r="F101" i="33"/>
  <c r="E101" i="33"/>
  <c r="D101" i="33"/>
  <c r="F100" i="33"/>
  <c r="E100" i="33"/>
  <c r="D100" i="33"/>
  <c r="F99" i="33"/>
  <c r="E99" i="33"/>
  <c r="D99" i="33"/>
  <c r="F98" i="33"/>
  <c r="E98" i="33"/>
  <c r="D98" i="33"/>
  <c r="F97" i="33"/>
  <c r="E97" i="33"/>
  <c r="D97" i="33"/>
  <c r="F96" i="33"/>
  <c r="E96" i="33"/>
  <c r="D96" i="33"/>
  <c r="F95" i="33"/>
  <c r="E95" i="33"/>
  <c r="D95" i="33"/>
  <c r="F94" i="33"/>
  <c r="E94" i="33"/>
  <c r="D94" i="33"/>
  <c r="F93" i="33"/>
  <c r="E93" i="33"/>
  <c r="D93" i="33"/>
  <c r="F92" i="33"/>
  <c r="E92" i="33"/>
  <c r="D92" i="33"/>
  <c r="F91" i="33"/>
  <c r="E91" i="33"/>
  <c r="D91" i="33"/>
  <c r="F90" i="33"/>
  <c r="E90" i="33"/>
  <c r="D90" i="33"/>
  <c r="F89" i="33"/>
  <c r="E89" i="33"/>
  <c r="D89" i="33"/>
  <c r="F88" i="33"/>
  <c r="E88" i="33"/>
  <c r="D88" i="33"/>
  <c r="F87" i="33"/>
  <c r="E87" i="33"/>
  <c r="D87" i="33"/>
  <c r="F86" i="33"/>
  <c r="E86" i="33"/>
  <c r="D86" i="33"/>
  <c r="F85" i="33"/>
  <c r="E85" i="33"/>
  <c r="D85" i="33"/>
  <c r="F84" i="33"/>
  <c r="E84" i="33"/>
  <c r="D84" i="33"/>
  <c r="F83" i="33"/>
  <c r="E83" i="33"/>
  <c r="D83" i="33"/>
  <c r="F82" i="33"/>
  <c r="E82" i="33"/>
  <c r="D82" i="33"/>
  <c r="F81" i="33"/>
  <c r="E81" i="33"/>
  <c r="D81" i="33"/>
  <c r="F80" i="33"/>
  <c r="E80" i="33"/>
  <c r="D80" i="33"/>
  <c r="F79" i="33"/>
  <c r="E79" i="33"/>
  <c r="D79" i="33"/>
  <c r="F78" i="33"/>
  <c r="E78" i="33"/>
  <c r="D78" i="33"/>
  <c r="F77" i="33"/>
  <c r="E77" i="33"/>
  <c r="D77" i="33"/>
  <c r="F76" i="33"/>
  <c r="E76" i="33"/>
  <c r="D76" i="33"/>
  <c r="F75" i="33"/>
  <c r="E75" i="33"/>
  <c r="D75" i="33"/>
  <c r="F74" i="33"/>
  <c r="E74" i="33"/>
  <c r="D74" i="33"/>
  <c r="F73" i="33"/>
  <c r="E73" i="33"/>
  <c r="D73" i="33"/>
  <c r="F72" i="33"/>
  <c r="E72" i="33"/>
  <c r="D72" i="33"/>
  <c r="F22" i="33"/>
  <c r="E22" i="33"/>
  <c r="D22" i="33"/>
  <c r="F21" i="33"/>
  <c r="E21" i="33"/>
  <c r="D21" i="33"/>
  <c r="D14" i="33"/>
  <c r="F101" i="32"/>
  <c r="E101" i="32"/>
  <c r="D101" i="32"/>
  <c r="F100" i="32"/>
  <c r="E100" i="32"/>
  <c r="D100" i="32"/>
  <c r="F99" i="32"/>
  <c r="E99" i="32"/>
  <c r="D99" i="32"/>
  <c r="F98" i="32"/>
  <c r="E98" i="32"/>
  <c r="D98" i="32"/>
  <c r="F97" i="32"/>
  <c r="E97" i="32"/>
  <c r="D97" i="32"/>
  <c r="F96" i="32"/>
  <c r="E96" i="32"/>
  <c r="D96" i="32"/>
  <c r="F95" i="32"/>
  <c r="E95" i="32"/>
  <c r="D95" i="32"/>
  <c r="F94" i="32"/>
  <c r="E94" i="32"/>
  <c r="D94" i="32"/>
  <c r="F93" i="32"/>
  <c r="E93" i="32"/>
  <c r="D93" i="32"/>
  <c r="F92" i="32"/>
  <c r="E92" i="32"/>
  <c r="D92" i="32"/>
  <c r="F91" i="32"/>
  <c r="E91" i="32"/>
  <c r="D91" i="32"/>
  <c r="F90" i="32"/>
  <c r="E90" i="32"/>
  <c r="D90" i="32"/>
  <c r="F89" i="32"/>
  <c r="E89" i="32"/>
  <c r="D89" i="32"/>
  <c r="F88" i="32"/>
  <c r="E88" i="32"/>
  <c r="D88" i="32"/>
  <c r="F87" i="32"/>
  <c r="E87" i="32"/>
  <c r="D87" i="32"/>
  <c r="F86" i="32"/>
  <c r="E86" i="32"/>
  <c r="D86" i="32"/>
  <c r="F85" i="32"/>
  <c r="E85" i="32"/>
  <c r="D85" i="32"/>
  <c r="F84" i="32"/>
  <c r="E84" i="32"/>
  <c r="D84" i="32"/>
  <c r="F83" i="32"/>
  <c r="E83" i="32"/>
  <c r="D83" i="32"/>
  <c r="F82" i="32"/>
  <c r="E82" i="32"/>
  <c r="D82" i="32"/>
  <c r="F81" i="32"/>
  <c r="E81" i="32"/>
  <c r="D81" i="32"/>
  <c r="F80" i="32"/>
  <c r="E80" i="32"/>
  <c r="D80" i="32"/>
  <c r="F79" i="32"/>
  <c r="E79" i="32"/>
  <c r="D79" i="32"/>
  <c r="F78" i="32"/>
  <c r="E78" i="32"/>
  <c r="D78" i="32"/>
  <c r="F77" i="32"/>
  <c r="E77" i="32"/>
  <c r="D77" i="32"/>
  <c r="F76" i="32"/>
  <c r="E76" i="32"/>
  <c r="D76" i="32"/>
  <c r="F75" i="32"/>
  <c r="E75" i="32"/>
  <c r="D75" i="32"/>
  <c r="F74" i="32"/>
  <c r="E74" i="32"/>
  <c r="D74" i="32"/>
  <c r="F73" i="32"/>
  <c r="E73" i="32"/>
  <c r="D73" i="32"/>
  <c r="F72" i="32"/>
  <c r="E72" i="32"/>
  <c r="D72" i="32"/>
  <c r="F22" i="32"/>
  <c r="E22" i="32"/>
  <c r="D22" i="32"/>
  <c r="F21" i="32"/>
  <c r="E21" i="32"/>
  <c r="D21" i="32"/>
  <c r="F101" i="31"/>
  <c r="E101" i="31"/>
  <c r="D101" i="31"/>
  <c r="F100" i="31"/>
  <c r="E100" i="31"/>
  <c r="D100" i="31"/>
  <c r="F99" i="31"/>
  <c r="E99" i="31"/>
  <c r="D99" i="31"/>
  <c r="F98" i="31"/>
  <c r="E98" i="31"/>
  <c r="D98" i="31"/>
  <c r="F97" i="31"/>
  <c r="E97" i="31"/>
  <c r="D97" i="31"/>
  <c r="F96" i="31"/>
  <c r="E96" i="31"/>
  <c r="D96" i="31"/>
  <c r="F95" i="31"/>
  <c r="E95" i="31"/>
  <c r="D95" i="31"/>
  <c r="F94" i="31"/>
  <c r="E94" i="31"/>
  <c r="D94" i="31"/>
  <c r="F93" i="31"/>
  <c r="E93" i="31"/>
  <c r="D93" i="31"/>
  <c r="F92" i="31"/>
  <c r="E92" i="31"/>
  <c r="D92" i="31"/>
  <c r="F91" i="31"/>
  <c r="E91" i="31"/>
  <c r="D91" i="31"/>
  <c r="F90" i="31"/>
  <c r="E90" i="31"/>
  <c r="D90" i="31"/>
  <c r="F89" i="31"/>
  <c r="E89" i="31"/>
  <c r="D89" i="31"/>
  <c r="F88" i="31"/>
  <c r="E88" i="31"/>
  <c r="D88" i="31"/>
  <c r="F87" i="31"/>
  <c r="E87" i="31"/>
  <c r="D87" i="31"/>
  <c r="F86" i="31"/>
  <c r="E86" i="31"/>
  <c r="D86" i="31"/>
  <c r="F85" i="31"/>
  <c r="E85" i="31"/>
  <c r="D85" i="31"/>
  <c r="F84" i="31"/>
  <c r="E84" i="31"/>
  <c r="D84" i="31"/>
  <c r="F83" i="31"/>
  <c r="E83" i="31"/>
  <c r="D83" i="31"/>
  <c r="F82" i="31"/>
  <c r="E82" i="31"/>
  <c r="D82" i="31"/>
  <c r="F81" i="31"/>
  <c r="E81" i="31"/>
  <c r="D81" i="31"/>
  <c r="F80" i="31"/>
  <c r="E80" i="31"/>
  <c r="D80" i="31"/>
  <c r="F79" i="31"/>
  <c r="E79" i="31"/>
  <c r="D79" i="31"/>
  <c r="F78" i="31"/>
  <c r="E78" i="31"/>
  <c r="D78" i="31"/>
  <c r="F77" i="31"/>
  <c r="E77" i="31"/>
  <c r="D77" i="31"/>
  <c r="F76" i="31"/>
  <c r="E76" i="31"/>
  <c r="D76" i="31"/>
  <c r="F75" i="31"/>
  <c r="E75" i="31"/>
  <c r="D75" i="31"/>
  <c r="F74" i="31"/>
  <c r="E74" i="31"/>
  <c r="D74" i="31"/>
  <c r="F73" i="31"/>
  <c r="E73" i="31"/>
  <c r="D73" i="31"/>
  <c r="F72" i="31"/>
  <c r="E72" i="31"/>
  <c r="D72" i="31"/>
  <c r="F22" i="31"/>
  <c r="E22" i="31"/>
  <c r="D22" i="31"/>
  <c r="F21" i="31"/>
  <c r="E21" i="31"/>
  <c r="D21" i="31"/>
  <c r="F101" i="30"/>
  <c r="E101" i="30"/>
  <c r="D101" i="30"/>
  <c r="F100" i="30"/>
  <c r="E100" i="30"/>
  <c r="D100" i="30"/>
  <c r="F99" i="30"/>
  <c r="E99" i="30"/>
  <c r="D99" i="30"/>
  <c r="F98" i="30"/>
  <c r="E98" i="30"/>
  <c r="D98" i="30"/>
  <c r="F97" i="30"/>
  <c r="E97" i="30"/>
  <c r="D97" i="30"/>
  <c r="F96" i="30"/>
  <c r="E96" i="30"/>
  <c r="D96" i="30"/>
  <c r="F95" i="30"/>
  <c r="E95" i="30"/>
  <c r="D95" i="30"/>
  <c r="F94" i="30"/>
  <c r="E94" i="30"/>
  <c r="D94" i="30"/>
  <c r="F93" i="30"/>
  <c r="E93" i="30"/>
  <c r="D93" i="30"/>
  <c r="F92" i="30"/>
  <c r="E92" i="30"/>
  <c r="D92" i="30"/>
  <c r="F91" i="30"/>
  <c r="E91" i="30"/>
  <c r="D91" i="30"/>
  <c r="F90" i="30"/>
  <c r="E90" i="30"/>
  <c r="D90" i="30"/>
  <c r="F89" i="30"/>
  <c r="E89" i="30"/>
  <c r="D89" i="30"/>
  <c r="F88" i="30"/>
  <c r="E88" i="30"/>
  <c r="D88" i="30"/>
  <c r="F87" i="30"/>
  <c r="E87" i="30"/>
  <c r="D87" i="30"/>
  <c r="F86" i="30"/>
  <c r="E86" i="30"/>
  <c r="D86" i="30"/>
  <c r="F85" i="30"/>
  <c r="E85" i="30"/>
  <c r="D85" i="30"/>
  <c r="F84" i="30"/>
  <c r="E84" i="30"/>
  <c r="D84" i="30"/>
  <c r="F83" i="30"/>
  <c r="E83" i="30"/>
  <c r="D83" i="30"/>
  <c r="F82" i="30"/>
  <c r="E82" i="30"/>
  <c r="D82" i="30"/>
  <c r="F81" i="30"/>
  <c r="E81" i="30"/>
  <c r="D81" i="30"/>
  <c r="F80" i="30"/>
  <c r="E80" i="30"/>
  <c r="D80" i="30"/>
  <c r="F79" i="30"/>
  <c r="E79" i="30"/>
  <c r="D79" i="30"/>
  <c r="F78" i="30"/>
  <c r="E78" i="30"/>
  <c r="D78" i="30"/>
  <c r="F77" i="30"/>
  <c r="E77" i="30"/>
  <c r="D77" i="30"/>
  <c r="F76" i="30"/>
  <c r="E76" i="30"/>
  <c r="D76" i="30"/>
  <c r="F75" i="30"/>
  <c r="E75" i="30"/>
  <c r="D75" i="30"/>
  <c r="F74" i="30"/>
  <c r="E74" i="30"/>
  <c r="D74" i="30"/>
  <c r="F73" i="30"/>
  <c r="E73" i="30"/>
  <c r="D73" i="30"/>
  <c r="F72" i="30"/>
  <c r="E72" i="30"/>
  <c r="D72" i="30"/>
  <c r="F22" i="30"/>
  <c r="E22" i="30"/>
  <c r="D22" i="30"/>
  <c r="F21" i="30"/>
  <c r="E21" i="30"/>
  <c r="D21" i="30"/>
  <c r="F101" i="29"/>
  <c r="E101" i="29"/>
  <c r="D101" i="29"/>
  <c r="F100" i="29"/>
  <c r="E100" i="29"/>
  <c r="D100" i="29"/>
  <c r="F99" i="29"/>
  <c r="E99" i="29"/>
  <c r="D99" i="29"/>
  <c r="F98" i="29"/>
  <c r="E98" i="29"/>
  <c r="D98" i="29"/>
  <c r="F97" i="29"/>
  <c r="E97" i="29"/>
  <c r="D97" i="29"/>
  <c r="F96" i="29"/>
  <c r="E96" i="29"/>
  <c r="D96" i="29"/>
  <c r="F95" i="29"/>
  <c r="E95" i="29"/>
  <c r="D95" i="29"/>
  <c r="F94" i="29"/>
  <c r="E94" i="29"/>
  <c r="D94" i="29"/>
  <c r="F93" i="29"/>
  <c r="E93" i="29"/>
  <c r="D93" i="29"/>
  <c r="F92" i="29"/>
  <c r="E92" i="29"/>
  <c r="D92" i="29"/>
  <c r="F91" i="29"/>
  <c r="E91" i="29"/>
  <c r="D91" i="29"/>
  <c r="F90" i="29"/>
  <c r="E90" i="29"/>
  <c r="D90" i="29"/>
  <c r="F89" i="29"/>
  <c r="E89" i="29"/>
  <c r="D89" i="29"/>
  <c r="F88" i="29"/>
  <c r="E88" i="29"/>
  <c r="D88" i="29"/>
  <c r="F87" i="29"/>
  <c r="E87" i="29"/>
  <c r="D87" i="29"/>
  <c r="F86" i="29"/>
  <c r="E86" i="29"/>
  <c r="D86" i="29"/>
  <c r="F85" i="29"/>
  <c r="E85" i="29"/>
  <c r="D85" i="29"/>
  <c r="F84" i="29"/>
  <c r="E84" i="29"/>
  <c r="D84" i="29"/>
  <c r="F83" i="29"/>
  <c r="E83" i="29"/>
  <c r="D83" i="29"/>
  <c r="F82" i="29"/>
  <c r="E82" i="29"/>
  <c r="D82" i="29"/>
  <c r="F81" i="29"/>
  <c r="E81" i="29"/>
  <c r="D81" i="29"/>
  <c r="F80" i="29"/>
  <c r="E80" i="29"/>
  <c r="D80" i="29"/>
  <c r="F79" i="29"/>
  <c r="E79" i="29"/>
  <c r="D79" i="29"/>
  <c r="F78" i="29"/>
  <c r="E78" i="29"/>
  <c r="D78" i="29"/>
  <c r="F77" i="29"/>
  <c r="E77" i="29"/>
  <c r="D77" i="29"/>
  <c r="F76" i="29"/>
  <c r="E76" i="29"/>
  <c r="D76" i="29"/>
  <c r="F75" i="29"/>
  <c r="E75" i="29"/>
  <c r="D75" i="29"/>
  <c r="F74" i="29"/>
  <c r="E74" i="29"/>
  <c r="D74" i="29"/>
  <c r="F73" i="29"/>
  <c r="E73" i="29"/>
  <c r="D73" i="29"/>
  <c r="F72" i="29"/>
  <c r="E72" i="29"/>
  <c r="D72" i="29"/>
  <c r="F22" i="29"/>
  <c r="E22" i="29"/>
  <c r="D22" i="29"/>
  <c r="F21" i="29"/>
  <c r="E21" i="29"/>
  <c r="D21" i="29"/>
  <c r="F14" i="29"/>
  <c r="E14" i="29"/>
  <c r="F101" i="28"/>
  <c r="E101" i="28"/>
  <c r="D101" i="28"/>
  <c r="F100" i="28"/>
  <c r="E100" i="28"/>
  <c r="D100" i="28"/>
  <c r="F99" i="28"/>
  <c r="E99" i="28"/>
  <c r="D99" i="28"/>
  <c r="F98" i="28"/>
  <c r="E98" i="28"/>
  <c r="D98" i="28"/>
  <c r="F97" i="28"/>
  <c r="E97" i="28"/>
  <c r="D97" i="28"/>
  <c r="F96" i="28"/>
  <c r="E96" i="28"/>
  <c r="D96" i="28"/>
  <c r="F95" i="28"/>
  <c r="E95" i="28"/>
  <c r="D95" i="28"/>
  <c r="F94" i="28"/>
  <c r="E94" i="28"/>
  <c r="D94" i="28"/>
  <c r="F93" i="28"/>
  <c r="E93" i="28"/>
  <c r="D93" i="28"/>
  <c r="F92" i="28"/>
  <c r="E92" i="28"/>
  <c r="D92" i="28"/>
  <c r="F91" i="28"/>
  <c r="E91" i="28"/>
  <c r="D91" i="28"/>
  <c r="F90" i="28"/>
  <c r="E90" i="28"/>
  <c r="D90" i="28"/>
  <c r="F89" i="28"/>
  <c r="E89" i="28"/>
  <c r="D89" i="28"/>
  <c r="F88" i="28"/>
  <c r="E88" i="28"/>
  <c r="D88" i="28"/>
  <c r="F87" i="28"/>
  <c r="E87" i="28"/>
  <c r="D87" i="28"/>
  <c r="F86" i="28"/>
  <c r="E86" i="28"/>
  <c r="D86" i="28"/>
  <c r="F85" i="28"/>
  <c r="E85" i="28"/>
  <c r="D85" i="28"/>
  <c r="F84" i="28"/>
  <c r="E84" i="28"/>
  <c r="D84" i="28"/>
  <c r="F83" i="28"/>
  <c r="E83" i="28"/>
  <c r="D83" i="28"/>
  <c r="F82" i="28"/>
  <c r="E82" i="28"/>
  <c r="D82" i="28"/>
  <c r="F81" i="28"/>
  <c r="E81" i="28"/>
  <c r="D81" i="28"/>
  <c r="F80" i="28"/>
  <c r="E80" i="28"/>
  <c r="D80" i="28"/>
  <c r="F79" i="28"/>
  <c r="E79" i="28"/>
  <c r="D79" i="28"/>
  <c r="F78" i="28"/>
  <c r="E78" i="28"/>
  <c r="D78" i="28"/>
  <c r="F77" i="28"/>
  <c r="E77" i="28"/>
  <c r="D77" i="28"/>
  <c r="F76" i="28"/>
  <c r="E76" i="28"/>
  <c r="D76" i="28"/>
  <c r="F75" i="28"/>
  <c r="E75" i="28"/>
  <c r="D75" i="28"/>
  <c r="F74" i="28"/>
  <c r="E74" i="28"/>
  <c r="D74" i="28"/>
  <c r="F73" i="28"/>
  <c r="E73" i="28"/>
  <c r="D73" i="28"/>
  <c r="F72" i="28"/>
  <c r="E72" i="28"/>
  <c r="D72" i="28"/>
  <c r="F22" i="28"/>
  <c r="E22" i="28"/>
  <c r="D22" i="28"/>
  <c r="F21" i="28"/>
  <c r="E21" i="28"/>
  <c r="D21" i="28"/>
  <c r="F14" i="28"/>
  <c r="E14" i="28"/>
  <c r="D14" i="28"/>
  <c r="F101" i="27"/>
  <c r="E101" i="27"/>
  <c r="D101" i="27"/>
  <c r="F100" i="27"/>
  <c r="E100" i="27"/>
  <c r="D100" i="27"/>
  <c r="F99" i="27"/>
  <c r="E99" i="27"/>
  <c r="D99" i="27"/>
  <c r="F98" i="27"/>
  <c r="E98" i="27"/>
  <c r="D98" i="27"/>
  <c r="F97" i="27"/>
  <c r="E97" i="27"/>
  <c r="D97" i="27"/>
  <c r="F96" i="27"/>
  <c r="E96" i="27"/>
  <c r="D96" i="27"/>
  <c r="F95" i="27"/>
  <c r="E95" i="27"/>
  <c r="D95" i="27"/>
  <c r="F94" i="27"/>
  <c r="E94" i="27"/>
  <c r="D94" i="27"/>
  <c r="F93" i="27"/>
  <c r="E93" i="27"/>
  <c r="D93" i="27"/>
  <c r="F92" i="27"/>
  <c r="E92" i="27"/>
  <c r="D92" i="27"/>
  <c r="F91" i="27"/>
  <c r="E91" i="27"/>
  <c r="D91" i="27"/>
  <c r="F90" i="27"/>
  <c r="E90" i="27"/>
  <c r="D90" i="27"/>
  <c r="F89" i="27"/>
  <c r="E89" i="27"/>
  <c r="D89" i="27"/>
  <c r="F88" i="27"/>
  <c r="E88" i="27"/>
  <c r="D88" i="27"/>
  <c r="F87" i="27"/>
  <c r="E87" i="27"/>
  <c r="D87" i="27"/>
  <c r="F86" i="27"/>
  <c r="E86" i="27"/>
  <c r="D86" i="27"/>
  <c r="F85" i="27"/>
  <c r="E85" i="27"/>
  <c r="D85" i="27"/>
  <c r="F84" i="27"/>
  <c r="E84" i="27"/>
  <c r="D84" i="27"/>
  <c r="F83" i="27"/>
  <c r="E83" i="27"/>
  <c r="D83" i="27"/>
  <c r="F82" i="27"/>
  <c r="E82" i="27"/>
  <c r="D82" i="27"/>
  <c r="F81" i="27"/>
  <c r="E81" i="27"/>
  <c r="D81" i="27"/>
  <c r="F80" i="27"/>
  <c r="E80" i="27"/>
  <c r="D80" i="27"/>
  <c r="F79" i="27"/>
  <c r="E79" i="27"/>
  <c r="D79" i="27"/>
  <c r="F78" i="27"/>
  <c r="E78" i="27"/>
  <c r="D78" i="27"/>
  <c r="F77" i="27"/>
  <c r="E77" i="27"/>
  <c r="D77" i="27"/>
  <c r="F76" i="27"/>
  <c r="E76" i="27"/>
  <c r="D76" i="27"/>
  <c r="F75" i="27"/>
  <c r="E75" i="27"/>
  <c r="D75" i="27"/>
  <c r="F74" i="27"/>
  <c r="E74" i="27"/>
  <c r="D74" i="27"/>
  <c r="F73" i="27"/>
  <c r="E73" i="27"/>
  <c r="D73" i="27"/>
  <c r="F72" i="27"/>
  <c r="E72" i="27"/>
  <c r="D72" i="27"/>
  <c r="F22" i="27"/>
  <c r="E22" i="27"/>
  <c r="D22" i="27"/>
  <c r="F21" i="27"/>
  <c r="E21" i="27"/>
  <c r="D21" i="27"/>
  <c r="F14" i="27"/>
  <c r="E14" i="27"/>
  <c r="D14" i="27"/>
  <c r="F101" i="26"/>
  <c r="E101" i="26"/>
  <c r="D101" i="26"/>
  <c r="F100" i="26"/>
  <c r="E100" i="26"/>
  <c r="D100" i="26"/>
  <c r="F99" i="26"/>
  <c r="E99" i="26"/>
  <c r="D99" i="26"/>
  <c r="F98" i="26"/>
  <c r="E98" i="26"/>
  <c r="D98" i="26"/>
  <c r="F97" i="26"/>
  <c r="E97" i="26"/>
  <c r="D97" i="26"/>
  <c r="F96" i="26"/>
  <c r="E96" i="26"/>
  <c r="D96" i="26"/>
  <c r="F95" i="26"/>
  <c r="E95" i="26"/>
  <c r="D95" i="26"/>
  <c r="F94" i="26"/>
  <c r="E94" i="26"/>
  <c r="D94" i="26"/>
  <c r="F93" i="26"/>
  <c r="E93" i="26"/>
  <c r="D93" i="26"/>
  <c r="F92" i="26"/>
  <c r="E92" i="26"/>
  <c r="D92" i="26"/>
  <c r="F91" i="26"/>
  <c r="E91" i="26"/>
  <c r="D91" i="26"/>
  <c r="F90" i="26"/>
  <c r="E90" i="26"/>
  <c r="D90" i="26"/>
  <c r="F89" i="26"/>
  <c r="E89" i="26"/>
  <c r="D89" i="26"/>
  <c r="F88" i="26"/>
  <c r="E88" i="26"/>
  <c r="D88" i="26"/>
  <c r="F87" i="26"/>
  <c r="E87" i="26"/>
  <c r="D87" i="26"/>
  <c r="F86" i="26"/>
  <c r="E86" i="26"/>
  <c r="D86" i="26"/>
  <c r="F85" i="26"/>
  <c r="E85" i="26"/>
  <c r="D85" i="26"/>
  <c r="F84" i="26"/>
  <c r="E84" i="26"/>
  <c r="D84" i="26"/>
  <c r="F83" i="26"/>
  <c r="E83" i="26"/>
  <c r="D83" i="26"/>
  <c r="F82" i="26"/>
  <c r="E82" i="26"/>
  <c r="D82" i="26"/>
  <c r="F81" i="26"/>
  <c r="E81" i="26"/>
  <c r="D81" i="26"/>
  <c r="F80" i="26"/>
  <c r="E80" i="26"/>
  <c r="D80" i="26"/>
  <c r="F79" i="26"/>
  <c r="E79" i="26"/>
  <c r="D79" i="26"/>
  <c r="F78" i="26"/>
  <c r="E78" i="26"/>
  <c r="D78" i="26"/>
  <c r="F77" i="26"/>
  <c r="E77" i="26"/>
  <c r="D77" i="26"/>
  <c r="F76" i="26"/>
  <c r="E76" i="26"/>
  <c r="D76" i="26"/>
  <c r="F75" i="26"/>
  <c r="E75" i="26"/>
  <c r="D75" i="26"/>
  <c r="F74" i="26"/>
  <c r="E74" i="26"/>
  <c r="D74" i="26"/>
  <c r="F73" i="26"/>
  <c r="E73" i="26"/>
  <c r="D73" i="26"/>
  <c r="F72" i="26"/>
  <c r="E72" i="26"/>
  <c r="D72" i="26"/>
  <c r="F22" i="26"/>
  <c r="E22" i="26"/>
  <c r="D22" i="26"/>
  <c r="F21" i="26"/>
  <c r="E21" i="26"/>
  <c r="D21" i="26"/>
  <c r="F86" i="25"/>
  <c r="E86" i="25"/>
  <c r="D86" i="25"/>
  <c r="F85" i="25"/>
  <c r="E85" i="25"/>
  <c r="D85" i="25"/>
  <c r="F84" i="25"/>
  <c r="E84" i="25"/>
  <c r="D84" i="25"/>
  <c r="F83" i="25"/>
  <c r="E83" i="25"/>
  <c r="D83" i="25"/>
  <c r="F82" i="25"/>
  <c r="E82" i="25"/>
  <c r="D82" i="25"/>
  <c r="F81" i="25"/>
  <c r="E81" i="25"/>
  <c r="D81" i="25"/>
  <c r="F80" i="25"/>
  <c r="E80" i="25"/>
  <c r="D80" i="25"/>
  <c r="F79" i="25"/>
  <c r="E79" i="25"/>
  <c r="D79" i="25"/>
  <c r="F78" i="25"/>
  <c r="E78" i="25"/>
  <c r="D78" i="25"/>
  <c r="F77" i="25"/>
  <c r="E77" i="25"/>
  <c r="D77" i="25"/>
  <c r="F76" i="25"/>
  <c r="E76" i="25"/>
  <c r="D76" i="25"/>
  <c r="F75" i="25"/>
  <c r="E75" i="25"/>
  <c r="D75" i="25"/>
  <c r="F74" i="25"/>
  <c r="E74" i="25"/>
  <c r="D74" i="25"/>
  <c r="F73" i="25"/>
  <c r="E73" i="25"/>
  <c r="D73" i="25"/>
  <c r="F72" i="25"/>
  <c r="E72" i="25"/>
  <c r="D72" i="25"/>
  <c r="F22" i="25"/>
  <c r="E22" i="25"/>
  <c r="D22" i="25"/>
  <c r="F21" i="25"/>
  <c r="E21" i="25"/>
  <c r="D21" i="25"/>
  <c r="F86" i="24"/>
  <c r="E86" i="24"/>
  <c r="D86" i="24"/>
  <c r="F85" i="24"/>
  <c r="E85" i="24"/>
  <c r="D85" i="24"/>
  <c r="F84" i="24"/>
  <c r="E84" i="24"/>
  <c r="D84" i="24"/>
  <c r="F83" i="24"/>
  <c r="E83" i="24"/>
  <c r="D83" i="24"/>
  <c r="F82" i="24"/>
  <c r="E82" i="24"/>
  <c r="D82" i="24"/>
  <c r="F81" i="24"/>
  <c r="E81" i="24"/>
  <c r="D81" i="24"/>
  <c r="F80" i="24"/>
  <c r="E80" i="24"/>
  <c r="D80" i="24"/>
  <c r="F79" i="24"/>
  <c r="E79" i="24"/>
  <c r="D79" i="24"/>
  <c r="F78" i="24"/>
  <c r="E78" i="24"/>
  <c r="D78" i="24"/>
  <c r="F77" i="24"/>
  <c r="E77" i="24"/>
  <c r="D77" i="24"/>
  <c r="F76" i="24"/>
  <c r="E76" i="24"/>
  <c r="D76" i="24"/>
  <c r="F75" i="24"/>
  <c r="E75" i="24"/>
  <c r="D75" i="24"/>
  <c r="F74" i="24"/>
  <c r="E74" i="24"/>
  <c r="D74" i="24"/>
  <c r="F73" i="24"/>
  <c r="E73" i="24"/>
  <c r="D73" i="24"/>
  <c r="F72" i="24"/>
  <c r="E72" i="24"/>
  <c r="D72" i="24"/>
  <c r="F22" i="24"/>
  <c r="E22" i="24"/>
  <c r="D22" i="24"/>
  <c r="F21" i="24"/>
  <c r="E21" i="24"/>
  <c r="D21" i="24"/>
  <c r="F14" i="24"/>
  <c r="E14" i="24"/>
  <c r="D14" i="24"/>
  <c r="F101" i="23"/>
  <c r="E101" i="23"/>
  <c r="D101" i="23"/>
  <c r="F100" i="23"/>
  <c r="E100" i="23"/>
  <c r="D100" i="23"/>
  <c r="F99" i="23"/>
  <c r="E99" i="23"/>
  <c r="D99" i="23"/>
  <c r="F98" i="23"/>
  <c r="E98" i="23"/>
  <c r="D98" i="23"/>
  <c r="F97" i="23"/>
  <c r="E97" i="23"/>
  <c r="D97" i="23"/>
  <c r="F96" i="23"/>
  <c r="E96" i="23"/>
  <c r="D96" i="23"/>
  <c r="F95" i="23"/>
  <c r="E95" i="23"/>
  <c r="D95" i="23"/>
  <c r="F94" i="23"/>
  <c r="E94" i="23"/>
  <c r="D94" i="23"/>
  <c r="F93" i="23"/>
  <c r="E93" i="23"/>
  <c r="D93" i="23"/>
  <c r="F92" i="23"/>
  <c r="E92" i="23"/>
  <c r="D92" i="23"/>
  <c r="F91" i="23"/>
  <c r="E91" i="23"/>
  <c r="D91" i="23"/>
  <c r="F90" i="23"/>
  <c r="E90" i="23"/>
  <c r="D90" i="23"/>
  <c r="F89" i="23"/>
  <c r="E89" i="23"/>
  <c r="D89" i="23"/>
  <c r="F88" i="23"/>
  <c r="E88" i="23"/>
  <c r="D88" i="23"/>
  <c r="F87" i="23"/>
  <c r="E87" i="23"/>
  <c r="D87" i="23"/>
  <c r="F86" i="23"/>
  <c r="E86" i="23"/>
  <c r="D86" i="23"/>
  <c r="F85" i="23"/>
  <c r="E85" i="23"/>
  <c r="D85" i="23"/>
  <c r="F84" i="23"/>
  <c r="E84" i="23"/>
  <c r="D84" i="23"/>
  <c r="F83" i="23"/>
  <c r="E83" i="23"/>
  <c r="D83" i="23"/>
  <c r="F82" i="23"/>
  <c r="E82" i="23"/>
  <c r="D82" i="23"/>
  <c r="F81" i="23"/>
  <c r="E81" i="23"/>
  <c r="D81" i="23"/>
  <c r="F80" i="23"/>
  <c r="E80" i="23"/>
  <c r="D80" i="23"/>
  <c r="F79" i="23"/>
  <c r="E79" i="23"/>
  <c r="D79" i="23"/>
  <c r="F78" i="23"/>
  <c r="E78" i="23"/>
  <c r="D78" i="23"/>
  <c r="F77" i="23"/>
  <c r="E77" i="23"/>
  <c r="D77" i="23"/>
  <c r="F76" i="23"/>
  <c r="E76" i="23"/>
  <c r="D76" i="23"/>
  <c r="F75" i="23"/>
  <c r="E75" i="23"/>
  <c r="D75" i="23"/>
  <c r="F74" i="23"/>
  <c r="E74" i="23"/>
  <c r="D74" i="23"/>
  <c r="F73" i="23"/>
  <c r="E73" i="23"/>
  <c r="D73" i="23"/>
  <c r="F72" i="23"/>
  <c r="E72" i="23"/>
  <c r="D72" i="23"/>
  <c r="F22" i="23"/>
  <c r="E22" i="23"/>
  <c r="D22" i="23"/>
  <c r="F21" i="23"/>
  <c r="E21" i="23"/>
  <c r="D21" i="23"/>
  <c r="F86" i="22"/>
  <c r="E86" i="22"/>
  <c r="D86" i="22"/>
  <c r="F85" i="22"/>
  <c r="E85" i="22"/>
  <c r="D85" i="22"/>
  <c r="F84" i="22"/>
  <c r="E84" i="22"/>
  <c r="D84" i="22"/>
  <c r="F83" i="22"/>
  <c r="E83" i="22"/>
  <c r="D83" i="22"/>
  <c r="F82" i="22"/>
  <c r="E82" i="22"/>
  <c r="D82" i="22"/>
  <c r="F81" i="22"/>
  <c r="E81" i="22"/>
  <c r="D81" i="22"/>
  <c r="F80" i="22"/>
  <c r="E80" i="22"/>
  <c r="D80" i="22"/>
  <c r="F79" i="22"/>
  <c r="E79" i="22"/>
  <c r="D79" i="22"/>
  <c r="F78" i="22"/>
  <c r="E78" i="22"/>
  <c r="D78" i="22"/>
  <c r="F77" i="22"/>
  <c r="E77" i="22"/>
  <c r="D77" i="22"/>
  <c r="F76" i="22"/>
  <c r="E76" i="22"/>
  <c r="D76" i="22"/>
  <c r="F75" i="22"/>
  <c r="E75" i="22"/>
  <c r="D75" i="22"/>
  <c r="F74" i="22"/>
  <c r="E74" i="22"/>
  <c r="D74" i="22"/>
  <c r="F73" i="22"/>
  <c r="E73" i="22"/>
  <c r="D73" i="22"/>
  <c r="F72" i="22"/>
  <c r="E72" i="22"/>
  <c r="D72" i="22"/>
  <c r="F22" i="22"/>
  <c r="E22" i="22"/>
  <c r="D22" i="22"/>
  <c r="F21" i="22"/>
  <c r="E21" i="22"/>
  <c r="D21" i="22"/>
  <c r="E14" i="22"/>
  <c r="D14" i="22"/>
  <c r="F101" i="21"/>
  <c r="E101" i="21"/>
  <c r="D101" i="21"/>
  <c r="F100" i="21"/>
  <c r="E100" i="21"/>
  <c r="D100" i="21"/>
  <c r="F99" i="21"/>
  <c r="E99" i="21"/>
  <c r="D99" i="21"/>
  <c r="F98" i="21"/>
  <c r="E98" i="21"/>
  <c r="D98" i="21"/>
  <c r="F97" i="21"/>
  <c r="E97" i="21"/>
  <c r="D97" i="21"/>
  <c r="F96" i="21"/>
  <c r="E96" i="21"/>
  <c r="D96" i="21"/>
  <c r="F95" i="21"/>
  <c r="E95" i="21"/>
  <c r="D95" i="21"/>
  <c r="F94" i="21"/>
  <c r="E94" i="21"/>
  <c r="D94" i="21"/>
  <c r="F93" i="21"/>
  <c r="E93" i="21"/>
  <c r="D93" i="21"/>
  <c r="F92" i="21"/>
  <c r="E92" i="21"/>
  <c r="D92" i="21"/>
  <c r="F91" i="21"/>
  <c r="E91" i="21"/>
  <c r="D91" i="21"/>
  <c r="F90" i="21"/>
  <c r="E90" i="21"/>
  <c r="D90" i="21"/>
  <c r="F89" i="21"/>
  <c r="E89" i="21"/>
  <c r="D89" i="21"/>
  <c r="F88" i="21"/>
  <c r="E88" i="21"/>
  <c r="D88" i="21"/>
  <c r="F87" i="21"/>
  <c r="E87" i="21"/>
  <c r="D87" i="21"/>
  <c r="F86" i="21"/>
  <c r="E86" i="21"/>
  <c r="D86" i="21"/>
  <c r="F85" i="21"/>
  <c r="E85" i="21"/>
  <c r="D85" i="21"/>
  <c r="F84" i="21"/>
  <c r="E84" i="21"/>
  <c r="D84" i="21"/>
  <c r="F83" i="21"/>
  <c r="E83" i="21"/>
  <c r="D83" i="21"/>
  <c r="F82" i="21"/>
  <c r="E82" i="21"/>
  <c r="D82" i="21"/>
  <c r="F81" i="21"/>
  <c r="E81" i="21"/>
  <c r="D81" i="21"/>
  <c r="F80" i="21"/>
  <c r="E80" i="21"/>
  <c r="D80" i="21"/>
  <c r="F79" i="21"/>
  <c r="E79" i="21"/>
  <c r="D79" i="21"/>
  <c r="F78" i="21"/>
  <c r="E78" i="21"/>
  <c r="D78" i="21"/>
  <c r="F77" i="21"/>
  <c r="E77" i="21"/>
  <c r="D77" i="21"/>
  <c r="F76" i="21"/>
  <c r="E76" i="21"/>
  <c r="D76" i="21"/>
  <c r="F75" i="21"/>
  <c r="E75" i="21"/>
  <c r="D75" i="21"/>
  <c r="F74" i="21"/>
  <c r="E74" i="21"/>
  <c r="D74" i="21"/>
  <c r="F73" i="21"/>
  <c r="E73" i="21"/>
  <c r="D73" i="21"/>
  <c r="F72" i="21"/>
  <c r="E72" i="21"/>
  <c r="D72" i="21"/>
  <c r="F22" i="21"/>
  <c r="E22" i="21"/>
  <c r="D22" i="21"/>
  <c r="F21" i="21"/>
  <c r="E21" i="21"/>
  <c r="D21" i="21"/>
  <c r="F14" i="21"/>
  <c r="E14" i="21"/>
  <c r="D14" i="21"/>
  <c r="F86" i="20"/>
  <c r="E86" i="20"/>
  <c r="D86" i="20"/>
  <c r="F85" i="20"/>
  <c r="E85" i="20"/>
  <c r="D85" i="20"/>
  <c r="F84" i="20"/>
  <c r="E84" i="20"/>
  <c r="D84" i="20"/>
  <c r="F83" i="20"/>
  <c r="E83" i="20"/>
  <c r="D83" i="20"/>
  <c r="F82" i="20"/>
  <c r="E82" i="20"/>
  <c r="D82" i="20"/>
  <c r="F81" i="20"/>
  <c r="E81" i="20"/>
  <c r="D81" i="20"/>
  <c r="F80" i="20"/>
  <c r="E80" i="20"/>
  <c r="D80" i="20"/>
  <c r="F79" i="20"/>
  <c r="E79" i="20"/>
  <c r="D79" i="20"/>
  <c r="F78" i="20"/>
  <c r="E78" i="20"/>
  <c r="D78" i="20"/>
  <c r="F77" i="20"/>
  <c r="E77" i="20"/>
  <c r="D77" i="20"/>
  <c r="F76" i="20"/>
  <c r="E76" i="20"/>
  <c r="D76" i="20"/>
  <c r="F75" i="20"/>
  <c r="E75" i="20"/>
  <c r="D75" i="20"/>
  <c r="F74" i="20"/>
  <c r="E74" i="20"/>
  <c r="D74" i="20"/>
  <c r="F73" i="20"/>
  <c r="E73" i="20"/>
  <c r="D73" i="20"/>
  <c r="F72" i="20"/>
  <c r="E72" i="20"/>
  <c r="D72" i="20"/>
  <c r="F22" i="20"/>
  <c r="E22" i="20"/>
  <c r="D22" i="20"/>
  <c r="F21" i="20"/>
  <c r="E21" i="20"/>
  <c r="D21" i="20"/>
  <c r="F14" i="20"/>
  <c r="E14" i="20"/>
  <c r="D14" i="20"/>
  <c r="F86" i="19"/>
  <c r="E86" i="19"/>
  <c r="D86" i="19"/>
  <c r="F85" i="19"/>
  <c r="E85" i="19"/>
  <c r="D85" i="19"/>
  <c r="F84" i="19"/>
  <c r="E84" i="19"/>
  <c r="D84" i="19"/>
  <c r="F83" i="19"/>
  <c r="E83" i="19"/>
  <c r="D83" i="19"/>
  <c r="F82" i="19"/>
  <c r="E82" i="19"/>
  <c r="D82" i="19"/>
  <c r="F81" i="19"/>
  <c r="E81" i="19"/>
  <c r="D81" i="19"/>
  <c r="F80" i="19"/>
  <c r="E80" i="19"/>
  <c r="D80" i="19"/>
  <c r="F79" i="19"/>
  <c r="E79" i="19"/>
  <c r="D79" i="19"/>
  <c r="F78" i="19"/>
  <c r="E78" i="19"/>
  <c r="D78" i="19"/>
  <c r="F77" i="19"/>
  <c r="E77" i="19"/>
  <c r="D77" i="19"/>
  <c r="F76" i="19"/>
  <c r="E76" i="19"/>
  <c r="D76" i="19"/>
  <c r="F75" i="19"/>
  <c r="E75" i="19"/>
  <c r="D75" i="19"/>
  <c r="F74" i="19"/>
  <c r="E74" i="19"/>
  <c r="D74" i="19"/>
  <c r="F73" i="19"/>
  <c r="E73" i="19"/>
  <c r="D73" i="19"/>
  <c r="F72" i="19"/>
  <c r="E72" i="19"/>
  <c r="D72" i="19"/>
  <c r="F22" i="19"/>
  <c r="E22" i="19"/>
  <c r="D22" i="19"/>
  <c r="F21" i="19"/>
  <c r="E21" i="19"/>
  <c r="D21" i="19"/>
  <c r="F86" i="18"/>
  <c r="E86" i="18"/>
  <c r="D86" i="18"/>
  <c r="F85" i="18"/>
  <c r="E85" i="18"/>
  <c r="D85" i="18"/>
  <c r="F84" i="18"/>
  <c r="E84" i="18"/>
  <c r="D84" i="18"/>
  <c r="F83" i="18"/>
  <c r="E83" i="18"/>
  <c r="D83" i="18"/>
  <c r="F82" i="18"/>
  <c r="E82" i="18"/>
  <c r="D82" i="18"/>
  <c r="F81" i="18"/>
  <c r="E81" i="18"/>
  <c r="D81" i="18"/>
  <c r="F80" i="18"/>
  <c r="E80" i="18"/>
  <c r="D80" i="18"/>
  <c r="F79" i="18"/>
  <c r="E79" i="18"/>
  <c r="D79" i="18"/>
  <c r="F78" i="18"/>
  <c r="E78" i="18"/>
  <c r="D78" i="18"/>
  <c r="F77" i="18"/>
  <c r="E77" i="18"/>
  <c r="D77" i="18"/>
  <c r="F76" i="18"/>
  <c r="E76" i="18"/>
  <c r="D76" i="18"/>
  <c r="F75" i="18"/>
  <c r="E75" i="18"/>
  <c r="D75" i="18"/>
  <c r="F74" i="18"/>
  <c r="E74" i="18"/>
  <c r="D74" i="18"/>
  <c r="F73" i="18"/>
  <c r="E73" i="18"/>
  <c r="D73" i="18"/>
  <c r="F72" i="18"/>
  <c r="E72" i="18"/>
  <c r="D72" i="18"/>
  <c r="F22" i="18"/>
  <c r="E22" i="18"/>
  <c r="D22" i="18"/>
  <c r="F21" i="18"/>
  <c r="E21" i="18"/>
  <c r="D21" i="18"/>
  <c r="F14" i="18"/>
  <c r="E14" i="18"/>
  <c r="D14" i="18"/>
  <c r="F86" i="17"/>
  <c r="E86" i="17"/>
  <c r="D86" i="17"/>
  <c r="F85" i="17"/>
  <c r="E85" i="17"/>
  <c r="D85" i="17"/>
  <c r="F84" i="17"/>
  <c r="E84" i="17"/>
  <c r="D84" i="17"/>
  <c r="F83" i="17"/>
  <c r="E83" i="17"/>
  <c r="D83" i="17"/>
  <c r="F82" i="17"/>
  <c r="E82" i="17"/>
  <c r="D82" i="17"/>
  <c r="F81" i="17"/>
  <c r="E81" i="17"/>
  <c r="D81" i="17"/>
  <c r="F80" i="17"/>
  <c r="E80" i="17"/>
  <c r="D80" i="17"/>
  <c r="F79" i="17"/>
  <c r="E79" i="17"/>
  <c r="D79" i="17"/>
  <c r="F78" i="17"/>
  <c r="E78" i="17"/>
  <c r="D78" i="17"/>
  <c r="F77" i="17"/>
  <c r="E77" i="17"/>
  <c r="D77" i="17"/>
  <c r="F76" i="17"/>
  <c r="E76" i="17"/>
  <c r="D76" i="17"/>
  <c r="F75" i="17"/>
  <c r="E75" i="17"/>
  <c r="D75" i="17"/>
  <c r="F74" i="17"/>
  <c r="E74" i="17"/>
  <c r="D74" i="17"/>
  <c r="F73" i="17"/>
  <c r="E73" i="17"/>
  <c r="D73" i="17"/>
  <c r="F72" i="17"/>
  <c r="E72" i="17"/>
  <c r="D72" i="17"/>
  <c r="F22" i="17"/>
  <c r="E22" i="17"/>
  <c r="D22" i="17"/>
  <c r="F21" i="17"/>
  <c r="E21" i="17"/>
  <c r="D21" i="17"/>
  <c r="E14" i="17"/>
  <c r="F101" i="15"/>
  <c r="E101" i="15"/>
  <c r="D101" i="15"/>
  <c r="F100" i="15"/>
  <c r="E100" i="15"/>
  <c r="D100" i="15"/>
  <c r="F99" i="15"/>
  <c r="E99" i="15"/>
  <c r="D99" i="15"/>
  <c r="F98" i="15"/>
  <c r="E98" i="15"/>
  <c r="D98" i="15"/>
  <c r="F97" i="15"/>
  <c r="E97" i="15"/>
  <c r="D97" i="15"/>
  <c r="F96" i="15"/>
  <c r="E96" i="15"/>
  <c r="D96" i="15"/>
  <c r="F95" i="15"/>
  <c r="E95" i="15"/>
  <c r="D95" i="15"/>
  <c r="F94" i="15"/>
  <c r="E94" i="15"/>
  <c r="D94" i="15"/>
  <c r="F93" i="15"/>
  <c r="E93" i="15"/>
  <c r="D93" i="15"/>
  <c r="F92" i="15"/>
  <c r="E92" i="15"/>
  <c r="D92" i="15"/>
  <c r="F91" i="15"/>
  <c r="E91" i="15"/>
  <c r="D91" i="15"/>
  <c r="F90" i="15"/>
  <c r="E90" i="15"/>
  <c r="D90" i="15"/>
  <c r="F89" i="15"/>
  <c r="E89" i="15"/>
  <c r="D89" i="15"/>
  <c r="F88" i="15"/>
  <c r="E88" i="15"/>
  <c r="D88" i="15"/>
  <c r="F87" i="15"/>
  <c r="E87" i="15"/>
  <c r="D87" i="15"/>
  <c r="F86" i="15"/>
  <c r="E86" i="15"/>
  <c r="D86" i="15"/>
  <c r="F85" i="15"/>
  <c r="E85" i="15"/>
  <c r="D85" i="15"/>
  <c r="F84" i="15"/>
  <c r="E84" i="15"/>
  <c r="D84" i="15"/>
  <c r="F83" i="15"/>
  <c r="E83" i="15"/>
  <c r="D83" i="15"/>
  <c r="F82" i="15"/>
  <c r="E82" i="15"/>
  <c r="D82" i="15"/>
  <c r="F81" i="15"/>
  <c r="E81" i="15"/>
  <c r="D81" i="15"/>
  <c r="F80" i="15"/>
  <c r="E80" i="15"/>
  <c r="D80" i="15"/>
  <c r="F79" i="15"/>
  <c r="E79" i="15"/>
  <c r="D79" i="15"/>
  <c r="F78" i="15"/>
  <c r="E78" i="15"/>
  <c r="D78" i="15"/>
  <c r="F77" i="15"/>
  <c r="E77" i="15"/>
  <c r="D77" i="15"/>
  <c r="F76" i="15"/>
  <c r="E76" i="15"/>
  <c r="D76" i="15"/>
  <c r="F75" i="15"/>
  <c r="E75" i="15"/>
  <c r="D75" i="15"/>
  <c r="F74" i="15"/>
  <c r="E74" i="15"/>
  <c r="D74" i="15"/>
  <c r="F73" i="15"/>
  <c r="E73" i="15"/>
  <c r="D73" i="15"/>
  <c r="F72" i="15"/>
  <c r="E72" i="15"/>
  <c r="D72" i="15"/>
  <c r="F22" i="15"/>
  <c r="E22" i="15"/>
  <c r="D22" i="15"/>
  <c r="F21" i="15"/>
  <c r="E21" i="15"/>
  <c r="D21" i="15"/>
  <c r="D14" i="15"/>
  <c r="F101" i="14"/>
  <c r="E101" i="14"/>
  <c r="D101" i="14"/>
  <c r="F100" i="14"/>
  <c r="E100" i="14"/>
  <c r="D100" i="14"/>
  <c r="F99" i="14"/>
  <c r="E99" i="14"/>
  <c r="D99" i="14"/>
  <c r="F98" i="14"/>
  <c r="E98" i="14"/>
  <c r="D98" i="14"/>
  <c r="F97" i="14"/>
  <c r="E97" i="14"/>
  <c r="D97" i="14"/>
  <c r="F96" i="14"/>
  <c r="E96" i="14"/>
  <c r="D96" i="14"/>
  <c r="F95" i="14"/>
  <c r="E95" i="14"/>
  <c r="D95" i="14"/>
  <c r="F94" i="14"/>
  <c r="E94" i="14"/>
  <c r="D94" i="14"/>
  <c r="F93" i="14"/>
  <c r="E93" i="14"/>
  <c r="D93" i="14"/>
  <c r="F92" i="14"/>
  <c r="E92" i="14"/>
  <c r="D92" i="14"/>
  <c r="F91" i="14"/>
  <c r="E91" i="14"/>
  <c r="D91" i="14"/>
  <c r="F90" i="14"/>
  <c r="E90" i="14"/>
  <c r="D90" i="14"/>
  <c r="F89" i="14"/>
  <c r="E89" i="14"/>
  <c r="D89" i="14"/>
  <c r="F88" i="14"/>
  <c r="E88" i="14"/>
  <c r="D88" i="14"/>
  <c r="F87" i="14"/>
  <c r="E87" i="14"/>
  <c r="D87" i="14"/>
  <c r="F86" i="14"/>
  <c r="E86" i="14"/>
  <c r="D86" i="14"/>
  <c r="F85" i="14"/>
  <c r="E85" i="14"/>
  <c r="D85" i="14"/>
  <c r="F84" i="14"/>
  <c r="E84" i="14"/>
  <c r="D84" i="14"/>
  <c r="F83" i="14"/>
  <c r="E83" i="14"/>
  <c r="D83" i="14"/>
  <c r="F82" i="14"/>
  <c r="E82" i="14"/>
  <c r="D82" i="14"/>
  <c r="F81" i="14"/>
  <c r="E81" i="14"/>
  <c r="D81" i="14"/>
  <c r="F80" i="14"/>
  <c r="E80" i="14"/>
  <c r="D80" i="14"/>
  <c r="F79" i="14"/>
  <c r="E79" i="14"/>
  <c r="D79" i="14"/>
  <c r="F78" i="14"/>
  <c r="E78" i="14"/>
  <c r="D78" i="14"/>
  <c r="F77" i="14"/>
  <c r="E77" i="14"/>
  <c r="D77" i="14"/>
  <c r="F76" i="14"/>
  <c r="E76" i="14"/>
  <c r="D76" i="14"/>
  <c r="F75" i="14"/>
  <c r="E75" i="14"/>
  <c r="D75" i="14"/>
  <c r="F74" i="14"/>
  <c r="E74" i="14"/>
  <c r="D74" i="14"/>
  <c r="F73" i="14"/>
  <c r="E73" i="14"/>
  <c r="D73" i="14"/>
  <c r="F72" i="14"/>
  <c r="E72" i="14"/>
  <c r="D72" i="14"/>
  <c r="E58" i="14"/>
  <c r="D58" i="14"/>
  <c r="F22" i="14"/>
  <c r="E22" i="14"/>
  <c r="D22" i="14"/>
  <c r="F21" i="14"/>
  <c r="E21" i="14"/>
  <c r="D21" i="14"/>
  <c r="E14" i="14"/>
  <c r="D14" i="14"/>
  <c r="F101" i="13"/>
  <c r="E101" i="13"/>
  <c r="D101" i="13"/>
  <c r="F100" i="13"/>
  <c r="E100" i="13"/>
  <c r="D100" i="13"/>
  <c r="F99" i="13"/>
  <c r="E99" i="13"/>
  <c r="D99" i="13"/>
  <c r="F98" i="13"/>
  <c r="E98" i="13"/>
  <c r="D98" i="13"/>
  <c r="F97" i="13"/>
  <c r="E97" i="13"/>
  <c r="D97" i="13"/>
  <c r="F96" i="13"/>
  <c r="E96" i="13"/>
  <c r="D96" i="13"/>
  <c r="F95" i="13"/>
  <c r="E95" i="13"/>
  <c r="D95" i="13"/>
  <c r="F94" i="13"/>
  <c r="E94" i="13"/>
  <c r="D94" i="13"/>
  <c r="F93" i="13"/>
  <c r="E93" i="13"/>
  <c r="D93" i="13"/>
  <c r="F92" i="13"/>
  <c r="E92" i="13"/>
  <c r="D92" i="13"/>
  <c r="F91" i="13"/>
  <c r="E91" i="13"/>
  <c r="D91" i="13"/>
  <c r="F90" i="13"/>
  <c r="E90" i="13"/>
  <c r="D90" i="13"/>
  <c r="F89" i="13"/>
  <c r="E89" i="13"/>
  <c r="D89" i="13"/>
  <c r="F88" i="13"/>
  <c r="E88" i="13"/>
  <c r="D88" i="13"/>
  <c r="F87" i="13"/>
  <c r="E87" i="13"/>
  <c r="D87" i="13"/>
  <c r="F86" i="13"/>
  <c r="E86" i="13"/>
  <c r="D86" i="13"/>
  <c r="F85" i="13"/>
  <c r="E85" i="13"/>
  <c r="D85" i="13"/>
  <c r="F84" i="13"/>
  <c r="E84" i="13"/>
  <c r="D84" i="13"/>
  <c r="F83" i="13"/>
  <c r="E83" i="13"/>
  <c r="D83" i="13"/>
  <c r="F82" i="13"/>
  <c r="E82" i="13"/>
  <c r="D82" i="13"/>
  <c r="F81" i="13"/>
  <c r="E81" i="13"/>
  <c r="D81" i="13"/>
  <c r="F80" i="13"/>
  <c r="E80" i="13"/>
  <c r="D80" i="13"/>
  <c r="F79" i="13"/>
  <c r="E79" i="13"/>
  <c r="D79" i="13"/>
  <c r="F78" i="13"/>
  <c r="E78" i="13"/>
  <c r="D78" i="13"/>
  <c r="F77" i="13"/>
  <c r="E77" i="13"/>
  <c r="D77" i="13"/>
  <c r="F76" i="13"/>
  <c r="E76" i="13"/>
  <c r="D76" i="13"/>
  <c r="F75" i="13"/>
  <c r="E75" i="13"/>
  <c r="D75" i="13"/>
  <c r="F74" i="13"/>
  <c r="E74" i="13"/>
  <c r="D74" i="13"/>
  <c r="F73" i="13"/>
  <c r="E73" i="13"/>
  <c r="D73" i="13"/>
  <c r="F72" i="13"/>
  <c r="E72" i="13"/>
  <c r="D72" i="13"/>
  <c r="E58" i="13"/>
  <c r="D58" i="13"/>
  <c r="F22" i="13"/>
  <c r="E22" i="13"/>
  <c r="D22" i="13"/>
  <c r="F21" i="13"/>
  <c r="E21" i="13"/>
  <c r="D21" i="13"/>
  <c r="F14" i="13"/>
  <c r="E14" i="13"/>
  <c r="D14" i="13"/>
  <c r="F101" i="12"/>
  <c r="E101" i="12"/>
  <c r="D101" i="12"/>
  <c r="F100" i="12"/>
  <c r="E100" i="12"/>
  <c r="D100" i="12"/>
  <c r="F99" i="12"/>
  <c r="E99" i="12"/>
  <c r="D99" i="12"/>
  <c r="F98" i="12"/>
  <c r="E98" i="12"/>
  <c r="D98" i="12"/>
  <c r="F97" i="12"/>
  <c r="E97" i="12"/>
  <c r="D97" i="12"/>
  <c r="F96" i="12"/>
  <c r="E96" i="12"/>
  <c r="D96" i="12"/>
  <c r="F95" i="12"/>
  <c r="E95" i="12"/>
  <c r="D95" i="12"/>
  <c r="F94" i="12"/>
  <c r="E94" i="12"/>
  <c r="D94" i="12"/>
  <c r="F93" i="12"/>
  <c r="E93" i="12"/>
  <c r="D93" i="12"/>
  <c r="F92" i="12"/>
  <c r="E92" i="12"/>
  <c r="D92" i="12"/>
  <c r="F91" i="12"/>
  <c r="E91" i="12"/>
  <c r="D91" i="12"/>
  <c r="F90" i="12"/>
  <c r="E90" i="12"/>
  <c r="D90" i="12"/>
  <c r="F89" i="12"/>
  <c r="E89" i="12"/>
  <c r="D89" i="12"/>
  <c r="F88" i="12"/>
  <c r="E88" i="12"/>
  <c r="D88" i="12"/>
  <c r="F87" i="12"/>
  <c r="E87" i="12"/>
  <c r="D87" i="12"/>
  <c r="F86" i="12"/>
  <c r="E86" i="12"/>
  <c r="D86" i="12"/>
  <c r="F85" i="12"/>
  <c r="E85" i="12"/>
  <c r="D85" i="12"/>
  <c r="F84" i="12"/>
  <c r="E84" i="12"/>
  <c r="D84" i="12"/>
  <c r="F83" i="12"/>
  <c r="E83" i="12"/>
  <c r="D83" i="12"/>
  <c r="F82" i="12"/>
  <c r="E82" i="12"/>
  <c r="D82" i="12"/>
  <c r="F81" i="12"/>
  <c r="E81" i="12"/>
  <c r="D81" i="12"/>
  <c r="F80" i="12"/>
  <c r="E80" i="12"/>
  <c r="D80" i="12"/>
  <c r="F79" i="12"/>
  <c r="E79" i="12"/>
  <c r="D79" i="12"/>
  <c r="F78" i="12"/>
  <c r="E78" i="12"/>
  <c r="D78" i="12"/>
  <c r="F77" i="12"/>
  <c r="E77" i="12"/>
  <c r="D77" i="12"/>
  <c r="F76" i="12"/>
  <c r="E76" i="12"/>
  <c r="D76" i="12"/>
  <c r="F75" i="12"/>
  <c r="E75" i="12"/>
  <c r="D75" i="12"/>
  <c r="F74" i="12"/>
  <c r="E74" i="12"/>
  <c r="D74" i="12"/>
  <c r="F73" i="12"/>
  <c r="E73" i="12"/>
  <c r="D73" i="12"/>
  <c r="F72" i="12"/>
  <c r="E72" i="12"/>
  <c r="D72" i="12"/>
  <c r="F22" i="12"/>
  <c r="E22" i="12"/>
  <c r="D22" i="12"/>
  <c r="F21" i="12"/>
  <c r="E21" i="12"/>
  <c r="D21" i="12"/>
  <c r="F14" i="12"/>
  <c r="E14" i="12"/>
  <c r="D14" i="12"/>
  <c r="F101" i="11"/>
  <c r="E101" i="11"/>
  <c r="D101" i="11"/>
  <c r="F100" i="11"/>
  <c r="E100" i="11"/>
  <c r="D100" i="11"/>
  <c r="F99" i="11"/>
  <c r="E99" i="11"/>
  <c r="D99" i="11"/>
  <c r="F98" i="11"/>
  <c r="E98" i="11"/>
  <c r="D98" i="11"/>
  <c r="F97" i="11"/>
  <c r="E97" i="11"/>
  <c r="D97" i="11"/>
  <c r="F96" i="11"/>
  <c r="E96" i="11"/>
  <c r="D96" i="11"/>
  <c r="F95" i="11"/>
  <c r="E95" i="11"/>
  <c r="D95" i="11"/>
  <c r="F94" i="11"/>
  <c r="E94" i="11"/>
  <c r="D94" i="11"/>
  <c r="F93" i="11"/>
  <c r="E93" i="11"/>
  <c r="D93" i="11"/>
  <c r="F92" i="11"/>
  <c r="E92" i="11"/>
  <c r="D92" i="11"/>
  <c r="F91" i="11"/>
  <c r="E91" i="11"/>
  <c r="D91" i="11"/>
  <c r="F90" i="11"/>
  <c r="E90" i="11"/>
  <c r="D90" i="11"/>
  <c r="F89" i="11"/>
  <c r="E89" i="11"/>
  <c r="D89" i="11"/>
  <c r="F88" i="11"/>
  <c r="E88" i="11"/>
  <c r="D88" i="11"/>
  <c r="F87" i="11"/>
  <c r="E87" i="11"/>
  <c r="D87" i="11"/>
  <c r="F86" i="11"/>
  <c r="E86" i="11"/>
  <c r="D86" i="11"/>
  <c r="F85" i="11"/>
  <c r="E85" i="11"/>
  <c r="D85" i="11"/>
  <c r="F84" i="11"/>
  <c r="E84" i="11"/>
  <c r="D84" i="11"/>
  <c r="F83" i="11"/>
  <c r="E83" i="11"/>
  <c r="D83" i="11"/>
  <c r="F82" i="11"/>
  <c r="E82" i="11"/>
  <c r="D82" i="11"/>
  <c r="F81" i="11"/>
  <c r="E81" i="11"/>
  <c r="D81" i="11"/>
  <c r="F80" i="11"/>
  <c r="E80" i="11"/>
  <c r="D80" i="11"/>
  <c r="F79" i="11"/>
  <c r="E79" i="11"/>
  <c r="D79" i="11"/>
  <c r="F78" i="11"/>
  <c r="E78" i="11"/>
  <c r="D78" i="11"/>
  <c r="F77" i="11"/>
  <c r="E77" i="11"/>
  <c r="D77" i="11"/>
  <c r="F76" i="11"/>
  <c r="E76" i="11"/>
  <c r="D76" i="11"/>
  <c r="F75" i="11"/>
  <c r="E75" i="11"/>
  <c r="D75" i="11"/>
  <c r="F74" i="11"/>
  <c r="E74" i="11"/>
  <c r="D74" i="11"/>
  <c r="F73" i="11"/>
  <c r="E73" i="11"/>
  <c r="D73" i="11"/>
  <c r="F72" i="11"/>
  <c r="E72" i="11"/>
  <c r="D72" i="11"/>
  <c r="F22" i="11"/>
  <c r="E22" i="11"/>
  <c r="D22" i="11"/>
  <c r="F21" i="11"/>
  <c r="E21" i="11"/>
  <c r="D21" i="11"/>
  <c r="E14" i="11"/>
  <c r="D14" i="11"/>
  <c r="F101" i="10"/>
  <c r="E101" i="10"/>
  <c r="D101" i="10"/>
  <c r="F100" i="10"/>
  <c r="E100" i="10"/>
  <c r="D100" i="10"/>
  <c r="F99" i="10"/>
  <c r="E99" i="10"/>
  <c r="D99" i="10"/>
  <c r="F98" i="10"/>
  <c r="E98" i="10"/>
  <c r="D98" i="10"/>
  <c r="F97" i="10"/>
  <c r="E97" i="10"/>
  <c r="D97" i="10"/>
  <c r="F96" i="10"/>
  <c r="E96" i="10"/>
  <c r="D96" i="10"/>
  <c r="F95" i="10"/>
  <c r="E95" i="10"/>
  <c r="D95" i="10"/>
  <c r="F94" i="10"/>
  <c r="E94" i="10"/>
  <c r="D94" i="10"/>
  <c r="F93" i="10"/>
  <c r="E93" i="10"/>
  <c r="D93" i="10"/>
  <c r="F92" i="10"/>
  <c r="E92" i="10"/>
  <c r="D92" i="10"/>
  <c r="F91" i="10"/>
  <c r="E91" i="10"/>
  <c r="D91" i="10"/>
  <c r="F90" i="10"/>
  <c r="E90" i="10"/>
  <c r="D90" i="10"/>
  <c r="F89" i="10"/>
  <c r="E89" i="10"/>
  <c r="D89" i="10"/>
  <c r="F88" i="10"/>
  <c r="E88" i="10"/>
  <c r="D88" i="10"/>
  <c r="F87" i="10"/>
  <c r="E87" i="10"/>
  <c r="D87" i="10"/>
  <c r="F86" i="10"/>
  <c r="E86" i="10"/>
  <c r="D86" i="10"/>
  <c r="F85" i="10"/>
  <c r="E85" i="10"/>
  <c r="D85" i="10"/>
  <c r="F84" i="10"/>
  <c r="E84" i="10"/>
  <c r="D84" i="10"/>
  <c r="F83" i="10"/>
  <c r="E83" i="10"/>
  <c r="D83" i="10"/>
  <c r="F82" i="10"/>
  <c r="E82" i="10"/>
  <c r="D82" i="10"/>
  <c r="F81" i="10"/>
  <c r="E81" i="10"/>
  <c r="D81" i="10"/>
  <c r="F80" i="10"/>
  <c r="E80" i="10"/>
  <c r="D80" i="10"/>
  <c r="F79" i="10"/>
  <c r="E79" i="10"/>
  <c r="D79" i="10"/>
  <c r="F78" i="10"/>
  <c r="E78" i="10"/>
  <c r="D78" i="10"/>
  <c r="F77" i="10"/>
  <c r="E77" i="10"/>
  <c r="D77" i="10"/>
  <c r="F76" i="10"/>
  <c r="E76" i="10"/>
  <c r="D76" i="10"/>
  <c r="F75" i="10"/>
  <c r="E75" i="10"/>
  <c r="D75" i="10"/>
  <c r="F74" i="10"/>
  <c r="E74" i="10"/>
  <c r="D74" i="10"/>
  <c r="F73" i="10"/>
  <c r="E73" i="10"/>
  <c r="D73" i="10"/>
  <c r="F72" i="10"/>
  <c r="E72" i="10"/>
  <c r="D72" i="10"/>
  <c r="F22" i="10"/>
  <c r="E22" i="10"/>
  <c r="D22" i="10"/>
  <c r="F21" i="10"/>
  <c r="E21" i="10"/>
  <c r="D21" i="10"/>
  <c r="F14" i="10"/>
  <c r="E14" i="10"/>
  <c r="D14" i="10"/>
  <c r="F101" i="9"/>
  <c r="E101" i="9"/>
  <c r="D101" i="9"/>
  <c r="F100" i="9"/>
  <c r="E100" i="9"/>
  <c r="D100" i="9"/>
  <c r="F99" i="9"/>
  <c r="E99" i="9"/>
  <c r="D99" i="9"/>
  <c r="F98" i="9"/>
  <c r="E98" i="9"/>
  <c r="D98" i="9"/>
  <c r="F97" i="9"/>
  <c r="E97" i="9"/>
  <c r="D97" i="9"/>
  <c r="F96" i="9"/>
  <c r="E96" i="9"/>
  <c r="D96" i="9"/>
  <c r="F95" i="9"/>
  <c r="E95" i="9"/>
  <c r="D95" i="9"/>
  <c r="F94" i="9"/>
  <c r="E94" i="9"/>
  <c r="D94" i="9"/>
  <c r="F93" i="9"/>
  <c r="E93" i="9"/>
  <c r="D93" i="9"/>
  <c r="F92" i="9"/>
  <c r="E92" i="9"/>
  <c r="D92" i="9"/>
  <c r="F91" i="9"/>
  <c r="E91" i="9"/>
  <c r="D91" i="9"/>
  <c r="F90" i="9"/>
  <c r="E90" i="9"/>
  <c r="D90" i="9"/>
  <c r="F89" i="9"/>
  <c r="E89" i="9"/>
  <c r="D89" i="9"/>
  <c r="F88" i="9"/>
  <c r="E88" i="9"/>
  <c r="D88" i="9"/>
  <c r="F87" i="9"/>
  <c r="E87" i="9"/>
  <c r="D87" i="9"/>
  <c r="F86" i="9"/>
  <c r="E86" i="9"/>
  <c r="D86" i="9"/>
  <c r="F85" i="9"/>
  <c r="E85" i="9"/>
  <c r="D85" i="9"/>
  <c r="F84" i="9"/>
  <c r="E84" i="9"/>
  <c r="D84" i="9"/>
  <c r="F83" i="9"/>
  <c r="E83" i="9"/>
  <c r="D83" i="9"/>
  <c r="F82" i="9"/>
  <c r="E82" i="9"/>
  <c r="D82" i="9"/>
  <c r="F81" i="9"/>
  <c r="E81" i="9"/>
  <c r="D81" i="9"/>
  <c r="F80" i="9"/>
  <c r="E80" i="9"/>
  <c r="D80" i="9"/>
  <c r="F79" i="9"/>
  <c r="E79" i="9"/>
  <c r="D79" i="9"/>
  <c r="F78" i="9"/>
  <c r="E78" i="9"/>
  <c r="D78" i="9"/>
  <c r="F77" i="9"/>
  <c r="E77" i="9"/>
  <c r="D77" i="9"/>
  <c r="F76" i="9"/>
  <c r="E76" i="9"/>
  <c r="D76" i="9"/>
  <c r="F75" i="9"/>
  <c r="E75" i="9"/>
  <c r="D75" i="9"/>
  <c r="F74" i="9"/>
  <c r="E74" i="9"/>
  <c r="D74" i="9"/>
  <c r="F73" i="9"/>
  <c r="E73" i="9"/>
  <c r="D73" i="9"/>
  <c r="F72" i="9"/>
  <c r="E72" i="9"/>
  <c r="D72" i="9"/>
  <c r="F22" i="9"/>
  <c r="E22" i="9"/>
  <c r="D22" i="9"/>
  <c r="F21" i="9"/>
  <c r="E21" i="9"/>
  <c r="D21" i="9"/>
  <c r="F14" i="9"/>
  <c r="E14" i="9"/>
  <c r="D14" i="9"/>
  <c r="F101" i="8"/>
  <c r="E101" i="8"/>
  <c r="D101" i="8"/>
  <c r="F100" i="8"/>
  <c r="E100" i="8"/>
  <c r="D100" i="8"/>
  <c r="F99" i="8"/>
  <c r="E99" i="8"/>
  <c r="D99" i="8"/>
  <c r="F98" i="8"/>
  <c r="E98" i="8"/>
  <c r="D98" i="8"/>
  <c r="F97" i="8"/>
  <c r="E97" i="8"/>
  <c r="D97" i="8"/>
  <c r="F96" i="8"/>
  <c r="E96" i="8"/>
  <c r="D96" i="8"/>
  <c r="F95" i="8"/>
  <c r="E95" i="8"/>
  <c r="D95" i="8"/>
  <c r="F94" i="8"/>
  <c r="E94" i="8"/>
  <c r="D94" i="8"/>
  <c r="F93" i="8"/>
  <c r="E93" i="8"/>
  <c r="D93" i="8"/>
  <c r="F92" i="8"/>
  <c r="E92" i="8"/>
  <c r="D92" i="8"/>
  <c r="F91" i="8"/>
  <c r="E91" i="8"/>
  <c r="D91" i="8"/>
  <c r="F90" i="8"/>
  <c r="E90" i="8"/>
  <c r="D90" i="8"/>
  <c r="F89" i="8"/>
  <c r="E89" i="8"/>
  <c r="D89" i="8"/>
  <c r="F88" i="8"/>
  <c r="E88" i="8"/>
  <c r="D88" i="8"/>
  <c r="F87" i="8"/>
  <c r="E87" i="8"/>
  <c r="D87" i="8"/>
  <c r="F86" i="8"/>
  <c r="E86" i="8"/>
  <c r="D86" i="8"/>
  <c r="F85" i="8"/>
  <c r="E85" i="8"/>
  <c r="D85" i="8"/>
  <c r="F84" i="8"/>
  <c r="E84" i="8"/>
  <c r="D84" i="8"/>
  <c r="F83" i="8"/>
  <c r="E83" i="8"/>
  <c r="D83" i="8"/>
  <c r="F82" i="8"/>
  <c r="E82" i="8"/>
  <c r="D82" i="8"/>
  <c r="F81" i="8"/>
  <c r="E81" i="8"/>
  <c r="D81" i="8"/>
  <c r="F80" i="8"/>
  <c r="E80" i="8"/>
  <c r="D80" i="8"/>
  <c r="F79" i="8"/>
  <c r="E79" i="8"/>
  <c r="D79" i="8"/>
  <c r="F78" i="8"/>
  <c r="E78" i="8"/>
  <c r="D78" i="8"/>
  <c r="F77" i="8"/>
  <c r="E77" i="8"/>
  <c r="D77" i="8"/>
  <c r="F76" i="8"/>
  <c r="E76" i="8"/>
  <c r="D76" i="8"/>
  <c r="F75" i="8"/>
  <c r="E75" i="8"/>
  <c r="D75" i="8"/>
  <c r="F74" i="8"/>
  <c r="E74" i="8"/>
  <c r="D74" i="8"/>
  <c r="F73" i="8"/>
  <c r="E73" i="8"/>
  <c r="D73" i="8"/>
  <c r="F72" i="8"/>
  <c r="E72" i="8"/>
  <c r="D72" i="8"/>
  <c r="F22" i="8"/>
  <c r="E22" i="8"/>
  <c r="D22" i="8"/>
  <c r="F21" i="8"/>
  <c r="E21" i="8"/>
  <c r="D21" i="8"/>
  <c r="F14" i="8"/>
  <c r="E14" i="8"/>
  <c r="D14" i="8"/>
  <c r="F101" i="7"/>
  <c r="E101" i="7"/>
  <c r="D101" i="7"/>
  <c r="F100" i="7"/>
  <c r="E100" i="7"/>
  <c r="D100" i="7"/>
  <c r="F99" i="7"/>
  <c r="E99" i="7"/>
  <c r="D99" i="7"/>
  <c r="F98" i="7"/>
  <c r="E98" i="7"/>
  <c r="D98" i="7"/>
  <c r="F97" i="7"/>
  <c r="E97" i="7"/>
  <c r="D97" i="7"/>
  <c r="F96" i="7"/>
  <c r="E96" i="7"/>
  <c r="D96" i="7"/>
  <c r="F95" i="7"/>
  <c r="E95" i="7"/>
  <c r="D95" i="7"/>
  <c r="F94" i="7"/>
  <c r="E94" i="7"/>
  <c r="D94" i="7"/>
  <c r="F93" i="7"/>
  <c r="E93" i="7"/>
  <c r="D93" i="7"/>
  <c r="F92" i="7"/>
  <c r="E92" i="7"/>
  <c r="D92" i="7"/>
  <c r="F91" i="7"/>
  <c r="E91" i="7"/>
  <c r="D91" i="7"/>
  <c r="F90" i="7"/>
  <c r="E90" i="7"/>
  <c r="D90" i="7"/>
  <c r="F89" i="7"/>
  <c r="E89" i="7"/>
  <c r="D89" i="7"/>
  <c r="F88" i="7"/>
  <c r="E88" i="7"/>
  <c r="D88" i="7"/>
  <c r="F87" i="7"/>
  <c r="E87" i="7"/>
  <c r="D87" i="7"/>
  <c r="F86" i="7"/>
  <c r="E86" i="7"/>
  <c r="D86" i="7"/>
  <c r="F85" i="7"/>
  <c r="E85" i="7"/>
  <c r="D85" i="7"/>
  <c r="F84" i="7"/>
  <c r="E84" i="7"/>
  <c r="D84" i="7"/>
  <c r="F83" i="7"/>
  <c r="E83" i="7"/>
  <c r="D83" i="7"/>
  <c r="F82" i="7"/>
  <c r="E82" i="7"/>
  <c r="D82" i="7"/>
  <c r="F81" i="7"/>
  <c r="E81" i="7"/>
  <c r="D81" i="7"/>
  <c r="F80" i="7"/>
  <c r="E80" i="7"/>
  <c r="D80" i="7"/>
  <c r="F79" i="7"/>
  <c r="E79" i="7"/>
  <c r="D79" i="7"/>
  <c r="F78" i="7"/>
  <c r="E78" i="7"/>
  <c r="D78" i="7"/>
  <c r="F77" i="7"/>
  <c r="E77" i="7"/>
  <c r="D77" i="7"/>
  <c r="F76" i="7"/>
  <c r="E76" i="7"/>
  <c r="D76" i="7"/>
  <c r="F75" i="7"/>
  <c r="E75" i="7"/>
  <c r="D75" i="7"/>
  <c r="F74" i="7"/>
  <c r="E74" i="7"/>
  <c r="D74" i="7"/>
  <c r="F73" i="7"/>
  <c r="E73" i="7"/>
  <c r="D73" i="7"/>
  <c r="F72" i="7"/>
  <c r="E72" i="7"/>
  <c r="D72" i="7"/>
  <c r="F22" i="7"/>
  <c r="E22" i="7"/>
  <c r="D22" i="7"/>
  <c r="F21" i="7"/>
  <c r="E21" i="7"/>
  <c r="D21" i="7"/>
  <c r="F14" i="7"/>
  <c r="E14" i="7"/>
  <c r="D14" i="7"/>
  <c r="F101" i="6"/>
  <c r="E101" i="6"/>
  <c r="D101" i="6"/>
  <c r="F100" i="6"/>
  <c r="E100" i="6"/>
  <c r="D100" i="6"/>
  <c r="F99" i="6"/>
  <c r="E99" i="6"/>
  <c r="D99" i="6"/>
  <c r="F98" i="6"/>
  <c r="E98" i="6"/>
  <c r="D98" i="6"/>
  <c r="F97" i="6"/>
  <c r="E97" i="6"/>
  <c r="D97" i="6"/>
  <c r="F96" i="6"/>
  <c r="E96" i="6"/>
  <c r="D96" i="6"/>
  <c r="F95" i="6"/>
  <c r="E95" i="6"/>
  <c r="D95" i="6"/>
  <c r="F94" i="6"/>
  <c r="E94" i="6"/>
  <c r="D94" i="6"/>
  <c r="F93" i="6"/>
  <c r="E93" i="6"/>
  <c r="D93" i="6"/>
  <c r="F92" i="6"/>
  <c r="E92" i="6"/>
  <c r="D92" i="6"/>
  <c r="F91" i="6"/>
  <c r="E91" i="6"/>
  <c r="D91" i="6"/>
  <c r="F90" i="6"/>
  <c r="E90" i="6"/>
  <c r="D90" i="6"/>
  <c r="F89" i="6"/>
  <c r="E89" i="6"/>
  <c r="D89" i="6"/>
  <c r="F88" i="6"/>
  <c r="E88" i="6"/>
  <c r="D88" i="6"/>
  <c r="F87" i="6"/>
  <c r="E87" i="6"/>
  <c r="D87" i="6"/>
  <c r="F86" i="6"/>
  <c r="E86" i="6"/>
  <c r="D86" i="6"/>
  <c r="F85" i="6"/>
  <c r="E85" i="6"/>
  <c r="D85" i="6"/>
  <c r="F84" i="6"/>
  <c r="E84" i="6"/>
  <c r="D84" i="6"/>
  <c r="F83" i="6"/>
  <c r="E83" i="6"/>
  <c r="D83" i="6"/>
  <c r="F82" i="6"/>
  <c r="E82" i="6"/>
  <c r="D82" i="6"/>
  <c r="F81" i="6"/>
  <c r="E81" i="6"/>
  <c r="D81" i="6"/>
  <c r="F80" i="6"/>
  <c r="E80" i="6"/>
  <c r="D80" i="6"/>
  <c r="F79" i="6"/>
  <c r="E79" i="6"/>
  <c r="D79" i="6"/>
  <c r="F78" i="6"/>
  <c r="E78" i="6"/>
  <c r="D78" i="6"/>
  <c r="F77" i="6"/>
  <c r="E77" i="6"/>
  <c r="D77" i="6"/>
  <c r="F76" i="6"/>
  <c r="E76" i="6"/>
  <c r="D76" i="6"/>
  <c r="F75" i="6"/>
  <c r="E75" i="6"/>
  <c r="D75" i="6"/>
  <c r="F74" i="6"/>
  <c r="E74" i="6"/>
  <c r="D74" i="6"/>
  <c r="F73" i="6"/>
  <c r="E73" i="6"/>
  <c r="D73" i="6"/>
  <c r="F72" i="6"/>
  <c r="E72" i="6"/>
  <c r="D72" i="6"/>
  <c r="F22" i="6"/>
  <c r="E22" i="6"/>
  <c r="D22" i="6"/>
  <c r="F21" i="6"/>
  <c r="E21" i="6"/>
  <c r="D21" i="6"/>
  <c r="F14" i="6"/>
  <c r="E14" i="6"/>
  <c r="D14" i="6"/>
  <c r="F101" i="5"/>
  <c r="E101" i="5"/>
  <c r="D101" i="5"/>
  <c r="F100" i="5"/>
  <c r="E100" i="5"/>
  <c r="D100" i="5"/>
  <c r="F99" i="5"/>
  <c r="E99" i="5"/>
  <c r="D99" i="5"/>
  <c r="F98" i="5"/>
  <c r="E98" i="5"/>
  <c r="D98" i="5"/>
  <c r="F97" i="5"/>
  <c r="E97" i="5"/>
  <c r="D97" i="5"/>
  <c r="F96" i="5"/>
  <c r="E96" i="5"/>
  <c r="D96" i="5"/>
  <c r="F95" i="5"/>
  <c r="E95" i="5"/>
  <c r="D95" i="5"/>
  <c r="F94" i="5"/>
  <c r="E94" i="5"/>
  <c r="D94" i="5"/>
  <c r="F93" i="5"/>
  <c r="E93" i="5"/>
  <c r="D93" i="5"/>
  <c r="F92" i="5"/>
  <c r="E92" i="5"/>
  <c r="D92" i="5"/>
  <c r="F91" i="5"/>
  <c r="E91" i="5"/>
  <c r="D91" i="5"/>
  <c r="F90" i="5"/>
  <c r="E90" i="5"/>
  <c r="D90" i="5"/>
  <c r="F89" i="5"/>
  <c r="E89" i="5"/>
  <c r="D89" i="5"/>
  <c r="F88" i="5"/>
  <c r="E88" i="5"/>
  <c r="D88" i="5"/>
  <c r="F87" i="5"/>
  <c r="E87" i="5"/>
  <c r="D87" i="5"/>
  <c r="F86" i="5"/>
  <c r="E86" i="5"/>
  <c r="D86" i="5"/>
  <c r="F85" i="5"/>
  <c r="E85" i="5"/>
  <c r="D85" i="5"/>
  <c r="F84" i="5"/>
  <c r="E84" i="5"/>
  <c r="D84" i="5"/>
  <c r="F83" i="5"/>
  <c r="E83" i="5"/>
  <c r="D83" i="5"/>
  <c r="F82" i="5"/>
  <c r="E82" i="5"/>
  <c r="D82" i="5"/>
  <c r="F81" i="5"/>
  <c r="E81" i="5"/>
  <c r="D81" i="5"/>
  <c r="F80" i="5"/>
  <c r="E80" i="5"/>
  <c r="D80" i="5"/>
  <c r="F79" i="5"/>
  <c r="E79" i="5"/>
  <c r="D79" i="5"/>
  <c r="F78" i="5"/>
  <c r="E78" i="5"/>
  <c r="D78" i="5"/>
  <c r="F77" i="5"/>
  <c r="E77" i="5"/>
  <c r="D77" i="5"/>
  <c r="F76" i="5"/>
  <c r="E76" i="5"/>
  <c r="D76" i="5"/>
  <c r="F75" i="5"/>
  <c r="E75" i="5"/>
  <c r="D75" i="5"/>
  <c r="F74" i="5"/>
  <c r="E74" i="5"/>
  <c r="D74" i="5"/>
  <c r="F73" i="5"/>
  <c r="E73" i="5"/>
  <c r="D73" i="5"/>
  <c r="F72" i="5"/>
  <c r="E72" i="5"/>
  <c r="D72" i="5"/>
  <c r="F22" i="5"/>
  <c r="E22" i="5"/>
  <c r="D22" i="5"/>
  <c r="F21" i="5"/>
  <c r="E21" i="5"/>
  <c r="D21" i="5"/>
  <c r="F14" i="5"/>
  <c r="E14" i="5"/>
  <c r="D14" i="5"/>
  <c r="F101" i="4"/>
  <c r="E101" i="4"/>
  <c r="D101" i="4"/>
  <c r="F100" i="4"/>
  <c r="E100" i="4"/>
  <c r="D100" i="4"/>
  <c r="F99" i="4"/>
  <c r="E99" i="4"/>
  <c r="D99" i="4"/>
  <c r="F98" i="4"/>
  <c r="E98" i="4"/>
  <c r="D98" i="4"/>
  <c r="F97" i="4"/>
  <c r="E97" i="4"/>
  <c r="D97" i="4"/>
  <c r="F96" i="4"/>
  <c r="E96" i="4"/>
  <c r="D96" i="4"/>
  <c r="F95" i="4"/>
  <c r="E95" i="4"/>
  <c r="D95" i="4"/>
  <c r="F94" i="4"/>
  <c r="E94" i="4"/>
  <c r="D94" i="4"/>
  <c r="F93" i="4"/>
  <c r="E93" i="4"/>
  <c r="D93" i="4"/>
  <c r="F92" i="4"/>
  <c r="E92" i="4"/>
  <c r="D92" i="4"/>
  <c r="F91" i="4"/>
  <c r="E91" i="4"/>
  <c r="D91" i="4"/>
  <c r="F90" i="4"/>
  <c r="E90" i="4"/>
  <c r="D90" i="4"/>
  <c r="F89" i="4"/>
  <c r="E89" i="4"/>
  <c r="D89" i="4"/>
  <c r="F88" i="4"/>
  <c r="E88" i="4"/>
  <c r="D88" i="4"/>
  <c r="F87" i="4"/>
  <c r="E87" i="4"/>
  <c r="D87" i="4"/>
  <c r="F86" i="4"/>
  <c r="E86" i="4"/>
  <c r="D86" i="4"/>
  <c r="F85" i="4"/>
  <c r="E85" i="4"/>
  <c r="D85" i="4"/>
  <c r="F84" i="4"/>
  <c r="E84" i="4"/>
  <c r="D84" i="4"/>
  <c r="F83" i="4"/>
  <c r="E83" i="4"/>
  <c r="D83" i="4"/>
  <c r="F82" i="4"/>
  <c r="E82" i="4"/>
  <c r="D82" i="4"/>
  <c r="F81" i="4"/>
  <c r="E81" i="4"/>
  <c r="D81" i="4"/>
  <c r="F80" i="4"/>
  <c r="E80" i="4"/>
  <c r="D80" i="4"/>
  <c r="F79" i="4"/>
  <c r="E79" i="4"/>
  <c r="D79" i="4"/>
  <c r="F78" i="4"/>
  <c r="E78" i="4"/>
  <c r="D78" i="4"/>
  <c r="F77" i="4"/>
  <c r="E77" i="4"/>
  <c r="D77" i="4"/>
  <c r="F76" i="4"/>
  <c r="E76" i="4"/>
  <c r="D76" i="4"/>
  <c r="F75" i="4"/>
  <c r="E75" i="4"/>
  <c r="D75" i="4"/>
  <c r="F74" i="4"/>
  <c r="E74" i="4"/>
  <c r="D74" i="4"/>
  <c r="F73" i="4"/>
  <c r="E73" i="4"/>
  <c r="D73" i="4"/>
  <c r="F72" i="4"/>
  <c r="E72" i="4"/>
  <c r="D72" i="4"/>
  <c r="F22" i="4"/>
  <c r="E22" i="4"/>
  <c r="D22" i="4"/>
  <c r="F21" i="4"/>
  <c r="E21" i="4"/>
  <c r="D21" i="4"/>
  <c r="F14" i="4"/>
  <c r="E14" i="4"/>
  <c r="D14" i="4"/>
  <c r="F101" i="3"/>
  <c r="E101" i="3"/>
  <c r="D101" i="3"/>
  <c r="F100" i="3"/>
  <c r="E100" i="3"/>
  <c r="D100" i="3"/>
  <c r="F99" i="3"/>
  <c r="E99" i="3"/>
  <c r="D99" i="3"/>
  <c r="F98" i="3"/>
  <c r="E98" i="3"/>
  <c r="D98" i="3"/>
  <c r="F97" i="3"/>
  <c r="E97" i="3"/>
  <c r="D97" i="3"/>
  <c r="F96" i="3"/>
  <c r="E96" i="3"/>
  <c r="D96" i="3"/>
  <c r="F95" i="3"/>
  <c r="E95" i="3"/>
  <c r="D95" i="3"/>
  <c r="F94" i="3"/>
  <c r="E94" i="3"/>
  <c r="D94" i="3"/>
  <c r="F93" i="3"/>
  <c r="E93" i="3"/>
  <c r="D93" i="3"/>
  <c r="F92" i="3"/>
  <c r="E92" i="3"/>
  <c r="D92" i="3"/>
  <c r="F91" i="3"/>
  <c r="E91" i="3"/>
  <c r="D91" i="3"/>
  <c r="F90" i="3"/>
  <c r="E90" i="3"/>
  <c r="D90" i="3"/>
  <c r="F89" i="3"/>
  <c r="E89" i="3"/>
  <c r="D89" i="3"/>
  <c r="F88" i="3"/>
  <c r="E88" i="3"/>
  <c r="D88" i="3"/>
  <c r="F87" i="3"/>
  <c r="E87" i="3"/>
  <c r="D87" i="3"/>
  <c r="F86" i="3"/>
  <c r="E86" i="3"/>
  <c r="D86" i="3"/>
  <c r="F85" i="3"/>
  <c r="E85" i="3"/>
  <c r="D85" i="3"/>
  <c r="F84" i="3"/>
  <c r="E84" i="3"/>
  <c r="D84" i="3"/>
  <c r="F83" i="3"/>
  <c r="E83" i="3"/>
  <c r="D83" i="3"/>
  <c r="F82" i="3"/>
  <c r="E82" i="3"/>
  <c r="D82" i="3"/>
  <c r="F81" i="3"/>
  <c r="E81" i="3"/>
  <c r="D81" i="3"/>
  <c r="F80" i="3"/>
  <c r="E80" i="3"/>
  <c r="D80" i="3"/>
  <c r="F79" i="3"/>
  <c r="E79" i="3"/>
  <c r="D79" i="3"/>
  <c r="F78" i="3"/>
  <c r="E78" i="3"/>
  <c r="D78" i="3"/>
  <c r="F77" i="3"/>
  <c r="E77" i="3"/>
  <c r="D77" i="3"/>
  <c r="F76" i="3"/>
  <c r="E76" i="3"/>
  <c r="D76" i="3"/>
  <c r="F75" i="3"/>
  <c r="E75" i="3"/>
  <c r="D75" i="3"/>
  <c r="F74" i="3"/>
  <c r="E74" i="3"/>
  <c r="D74" i="3"/>
  <c r="F22" i="3"/>
  <c r="E22" i="3"/>
  <c r="D22" i="3"/>
  <c r="F21" i="3"/>
  <c r="E21" i="3"/>
  <c r="D21" i="3"/>
  <c r="F14" i="3"/>
  <c r="E14" i="3"/>
  <c r="D14" i="3"/>
  <c r="F101" i="2"/>
  <c r="E101" i="2"/>
  <c r="D101" i="2"/>
  <c r="F100" i="2"/>
  <c r="E100" i="2"/>
  <c r="D100" i="2"/>
  <c r="F99" i="2"/>
  <c r="E99" i="2"/>
  <c r="D99" i="2"/>
  <c r="F98" i="2"/>
  <c r="E98" i="2"/>
  <c r="D98" i="2"/>
  <c r="F97" i="2"/>
  <c r="E97" i="2"/>
  <c r="D97" i="2"/>
  <c r="F96" i="2"/>
  <c r="E96" i="2"/>
  <c r="D96" i="2"/>
  <c r="F95" i="2"/>
  <c r="E95" i="2"/>
  <c r="D95" i="2"/>
  <c r="F94" i="2"/>
  <c r="E94" i="2"/>
  <c r="D94" i="2"/>
  <c r="F93" i="2"/>
  <c r="E93" i="2"/>
  <c r="D93" i="2"/>
  <c r="F92" i="2"/>
  <c r="E92" i="2"/>
  <c r="D92" i="2"/>
  <c r="F91" i="2"/>
  <c r="E91" i="2"/>
  <c r="D91" i="2"/>
  <c r="F90" i="2"/>
  <c r="E90" i="2"/>
  <c r="D90" i="2"/>
  <c r="F89" i="2"/>
  <c r="E89" i="2"/>
  <c r="D89" i="2"/>
  <c r="F88" i="2"/>
  <c r="E88" i="2"/>
  <c r="D88" i="2"/>
  <c r="F87" i="2"/>
  <c r="E87" i="2"/>
  <c r="D87" i="2"/>
  <c r="F86" i="2"/>
  <c r="E86" i="2"/>
  <c r="D86" i="2"/>
  <c r="F85" i="2"/>
  <c r="E85" i="2"/>
  <c r="D85" i="2"/>
  <c r="F84" i="2"/>
  <c r="E84" i="2"/>
  <c r="D84" i="2"/>
  <c r="F83" i="2"/>
  <c r="E83" i="2"/>
  <c r="D83" i="2"/>
  <c r="F82" i="2"/>
  <c r="E82" i="2"/>
  <c r="D82" i="2"/>
  <c r="F81" i="2"/>
  <c r="E81" i="2"/>
  <c r="D81" i="2"/>
  <c r="F80" i="2"/>
  <c r="E80" i="2"/>
  <c r="D80" i="2"/>
  <c r="F79" i="2"/>
  <c r="E79" i="2"/>
  <c r="D79" i="2"/>
  <c r="F78" i="2"/>
  <c r="E78" i="2"/>
  <c r="D78" i="2"/>
  <c r="F77" i="2"/>
  <c r="E77" i="2"/>
  <c r="D77" i="2"/>
  <c r="F76" i="2"/>
  <c r="E76" i="2"/>
  <c r="D76" i="2"/>
  <c r="F75" i="2"/>
  <c r="E75" i="2"/>
  <c r="D75" i="2"/>
  <c r="F74" i="2"/>
  <c r="E74" i="2"/>
  <c r="D74" i="2"/>
  <c r="F73" i="2"/>
  <c r="E73" i="2"/>
  <c r="D73" i="2"/>
  <c r="F72" i="2"/>
  <c r="E72" i="2"/>
  <c r="D72" i="2"/>
  <c r="F22" i="2"/>
  <c r="E22" i="2"/>
  <c r="D22" i="2"/>
  <c r="F21" i="2"/>
  <c r="E21" i="2"/>
  <c r="D21" i="2"/>
  <c r="F14" i="2"/>
  <c r="E14" i="2"/>
  <c r="D14" i="2"/>
  <c r="F62" i="1"/>
  <c r="E62" i="1"/>
  <c r="D62" i="1"/>
  <c r="F36" i="1"/>
  <c r="E36" i="1"/>
  <c r="D36" i="1"/>
  <c r="F35" i="1"/>
  <c r="E35" i="1"/>
  <c r="D35" i="1"/>
  <c r="F34" i="1"/>
  <c r="E34" i="1"/>
  <c r="D34" i="1"/>
</calcChain>
</file>

<file path=xl/sharedStrings.xml><?xml version="1.0" encoding="utf-8"?>
<sst xmlns="http://schemas.openxmlformats.org/spreadsheetml/2006/main" count="23017" uniqueCount="270">
  <si>
    <t>数据名</t>
  </si>
  <si>
    <t>计量单位</t>
  </si>
  <si>
    <t>填报部门</t>
  </si>
  <si>
    <t>Y2021</t>
  </si>
  <si>
    <t>Y2020</t>
  </si>
  <si>
    <t>Y2019</t>
  </si>
  <si>
    <t>指标说明</t>
  </si>
  <si>
    <t>计算公式</t>
  </si>
  <si>
    <t>下转患者人次数</t>
  </si>
  <si>
    <t>人次</t>
  </si>
  <si>
    <t>医务科</t>
  </si>
  <si>
    <t>参考三级中医、三级公立国考手册,原指标名为:下转患者人次数（门急诊、住院）</t>
  </si>
  <si>
    <t>门急诊下转患者人次数+住院下转患者人次数。</t>
  </si>
  <si>
    <t>出院患者手术占比</t>
  </si>
  <si>
    <t>%</t>
  </si>
  <si>
    <t>统计室</t>
  </si>
  <si>
    <t>详见三级公立、二级公立国考手册。举例：30%请填写30（不带百分号），而非写成30%，或0.3。下同</t>
  </si>
  <si>
    <t>出院患者手术台次数/同期出院患者总人次数*100</t>
  </si>
  <si>
    <t>出院患者微创手术占比</t>
  </si>
  <si>
    <t>详见三级公立、二级公立国考手册</t>
  </si>
  <si>
    <t>出院患者微创手术台次数/同期出院患者手术台次数*100</t>
  </si>
  <si>
    <t>出院患者四级手术比例</t>
  </si>
  <si>
    <t>详见三级公立国考手册</t>
  </si>
  <si>
    <t>出院患者四级手术台次数/同期出院患者手术台次数*100</t>
  </si>
  <si>
    <t>出院患者疑难危重病例比例</t>
  </si>
  <si>
    <t>即CD型病例占比</t>
  </si>
  <si>
    <t>(疑难病例数+危重病例数)/出院人数*100</t>
  </si>
  <si>
    <t>特需医疗服务量占比</t>
  </si>
  <si>
    <t>参考三级公立国考手册，特需医疗服务占比的构成要素。</t>
  </si>
  <si>
    <t>特需医疗服务量/同期全部医疗服务量*100</t>
  </si>
  <si>
    <t>特需医疗服务收入占比</t>
  </si>
  <si>
    <t>参考三级公立国考手册，特需医疗服务占比的构成要素</t>
  </si>
  <si>
    <t>特需医疗服务收入/同期全部医疗服务收入*100</t>
  </si>
  <si>
    <t>手术患者并发症发生率</t>
  </si>
  <si>
    <t>质控科</t>
  </si>
  <si>
    <t>详见国考手册</t>
  </si>
  <si>
    <t>手术患者并发症发生例数/同期出院的手术患者人数*100</t>
  </si>
  <si>
    <t>I类切口手术部位感染率</t>
  </si>
  <si>
    <t>院感科</t>
  </si>
  <si>
    <t>详见三级中医、三级公立国考手册</t>
  </si>
  <si>
    <t>I类切口手术部位感染人次数/同期I类切口手术台次数*100</t>
  </si>
  <si>
    <t>大型医用设备检查阳性率</t>
  </si>
  <si>
    <t>93.10</t>
  </si>
  <si>
    <t>85.13</t>
  </si>
  <si>
    <t>大型医用设备检查阳性数/同期大型医用设备检查人次数*100</t>
  </si>
  <si>
    <t>国家室间质量评价临床检验项目参加率</t>
  </si>
  <si>
    <t>参考三级中医、三级公立国考手册，为“通过国家室间质量评价的临床检验项目数”指标的构成要素</t>
  </si>
  <si>
    <t>参加国家临床检验中心组织的室间质评的检验项目数/同期实验室已开展且同时国家临床检验中心已组织的室间质评检验项目总数*100</t>
  </si>
  <si>
    <t>国家室间质量评价临床检验项目合格率</t>
  </si>
  <si>
    <t>97.10</t>
  </si>
  <si>
    <t>参加国家临床检验中心组织室间质评成绩合格的检验项目数/同期参加国家临床检验中心组织的室间质评检验项目总数*100</t>
  </si>
  <si>
    <t>低风险组病例死亡率</t>
  </si>
  <si>
    <t>低风险组死亡例数/低风险组病例数*100</t>
  </si>
  <si>
    <t>优质护理服务病房覆盖率</t>
  </si>
  <si>
    <t>护理部</t>
  </si>
  <si>
    <t>参考三级中医、三级公立国考手册，病房总数（即病区数）</t>
  </si>
  <si>
    <t>全院已经开展优质护理服务的病房总数/全院病房总数*100</t>
  </si>
  <si>
    <t>医院感染发生率</t>
  </si>
  <si>
    <t>等级评审标准细则</t>
  </si>
  <si>
    <t/>
  </si>
  <si>
    <t>点评处方占处方总数的比例</t>
  </si>
  <si>
    <t>药学部</t>
  </si>
  <si>
    <t>点评处方数/处方总数*100</t>
  </si>
  <si>
    <t>抗菌药物使用强度DDDs</t>
  </si>
  <si>
    <t>DDD</t>
  </si>
  <si>
    <t>住院患者抗菌药物消耗量（累计DDD数）/同期收治患者人天数*100</t>
  </si>
  <si>
    <t>门诊患者基本药物处方占比</t>
  </si>
  <si>
    <t>门诊使用基本药物人次数/同期门诊诊疗总人次数*100</t>
  </si>
  <si>
    <t>住院患者基本药物使用率</t>
  </si>
  <si>
    <t>出院患者使用基本药物总人次数/同期出院总人次数*100</t>
  </si>
  <si>
    <t>基本药物采购品种数占比</t>
  </si>
  <si>
    <t>医院采购基本药物品种数/医院同期采购药物品种总数*100</t>
  </si>
  <si>
    <t>国家组织药品集中采购中标药品金额占比</t>
  </si>
  <si>
    <t>中标药品用量/同种药品用量*100</t>
  </si>
  <si>
    <t>重点监控高值医用耗材收入占比</t>
  </si>
  <si>
    <t>设备科</t>
  </si>
  <si>
    <t>重点监控高值医用耗材收入/同期卫生材料收入*100</t>
  </si>
  <si>
    <t>门诊患者平均预约诊疗率</t>
  </si>
  <si>
    <t>门诊部</t>
  </si>
  <si>
    <t>98.74</t>
  </si>
  <si>
    <t>89.59</t>
  </si>
  <si>
    <t>预约诊疗人次数/总诊疗人次数*100</t>
  </si>
  <si>
    <t>门诊患者预约后平均等待时间</t>
  </si>
  <si>
    <t>分钟</t>
  </si>
  <si>
    <t>23.56</t>
  </si>
  <si>
    <t>24.53</t>
  </si>
  <si>
    <t>26.52</t>
  </si>
  <si>
    <t>∑{进入诊室诊疗的时钟时间-到达分诊台或通过信息系统（自助机、APP等）报到的时钟时间}/预约诊疗人次数</t>
  </si>
  <si>
    <t>电子病历应用功能水平分级</t>
  </si>
  <si>
    <t>级别</t>
  </si>
  <si>
    <t>信息科</t>
  </si>
  <si>
    <t>平均住院日</t>
  </si>
  <si>
    <t>天</t>
  </si>
  <si>
    <t>详见二级公立国考手册</t>
  </si>
  <si>
    <t>出院患者占用总床日数/同期出院患者人数</t>
  </si>
  <si>
    <t>CMI值</t>
  </si>
  <si>
    <t>病例组合指数</t>
  </si>
  <si>
    <t>DRGs组数</t>
  </si>
  <si>
    <t>组</t>
  </si>
  <si>
    <t>诊断相关分组组数</t>
  </si>
  <si>
    <t>每百张病床药师人数</t>
  </si>
  <si>
    <t>人</t>
  </si>
  <si>
    <t>人事科</t>
  </si>
  <si>
    <t>医院药师（包括药剂师和临床药师）总人数/医院实际开放床位数*100</t>
  </si>
  <si>
    <t>核定床位数</t>
  </si>
  <si>
    <t>张</t>
  </si>
  <si>
    <t>实际开放床位数</t>
  </si>
  <si>
    <t>开放床位使用率</t>
  </si>
  <si>
    <t>实际占用的总床日数/同期实际开放的总床日数*100</t>
  </si>
  <si>
    <t>卫生技术人员数与开放床位数比</t>
  </si>
  <si>
    <t>等级评审标准细则，原计量单位为比值（1:X），现改为小数</t>
  </si>
  <si>
    <t>医院卫生技术人员数/同期全院实际开放床位数</t>
  </si>
  <si>
    <t>医师人数与开放床位数比</t>
  </si>
  <si>
    <t>医院执业（助理）医师总数/同期全院实际开放床位数</t>
  </si>
  <si>
    <t>护士人数与开放床位数比</t>
  </si>
  <si>
    <t>医院注册护士总数/同期全院实际开放床位数</t>
  </si>
  <si>
    <t>人均医疗服务收入</t>
  </si>
  <si>
    <t>万元</t>
  </si>
  <si>
    <t>财务科</t>
  </si>
  <si>
    <t>按科室人员数人均医疗服务收入</t>
  </si>
  <si>
    <t>人均有效收入</t>
  </si>
  <si>
    <t>按科室人员数人均有效收入</t>
  </si>
  <si>
    <t>床均医疗服务收入</t>
  </si>
  <si>
    <t>按开放床位数床均医疗服务收入</t>
  </si>
  <si>
    <t>床均有效收入</t>
  </si>
  <si>
    <t>按开放床位数床均有效收入</t>
  </si>
  <si>
    <t>每名执业医师日均住院工作负担</t>
  </si>
  <si>
    <t>床日</t>
  </si>
  <si>
    <t>全年实际占用总床日数/医院平均执业(助理)医师人数/365</t>
  </si>
  <si>
    <t>医疗服务收入占医疗收入比例</t>
  </si>
  <si>
    <t>参考国考手册，原指标名为：医疗服务收入（不含药品、耗材、检查检验收入）占医疗收入比例</t>
  </si>
  <si>
    <t>医疗服务收入/医疗收入*100</t>
  </si>
  <si>
    <t>医疗收入</t>
  </si>
  <si>
    <t>门诊收入+住院收入</t>
  </si>
  <si>
    <t>医疗服务收入</t>
  </si>
  <si>
    <t>有效收入</t>
  </si>
  <si>
    <t>医疗服务收入+检查检验收入</t>
  </si>
  <si>
    <t>万元收入能耗占比</t>
  </si>
  <si>
    <t>吨标煤/万元</t>
  </si>
  <si>
    <t>后勤管理科</t>
  </si>
  <si>
    <t>年总能耗/年总收入*10000</t>
  </si>
  <si>
    <t>资产负债率</t>
  </si>
  <si>
    <t>负债合计/资产合计*100</t>
  </si>
  <si>
    <t>收支结余率</t>
  </si>
  <si>
    <t>医疗收入增幅</t>
  </si>
  <si>
    <t>（本年度医疗收入－上一年度医疗收入）/上一年度医疗收入*100</t>
  </si>
  <si>
    <t>门诊次均费用增幅</t>
  </si>
  <si>
    <t>（本年度门诊患者次均医药费用－上一年度门诊患者次均医药费用）/上一年度门诊患者次均医药费用*100</t>
  </si>
  <si>
    <t>住院次均费用增幅</t>
  </si>
  <si>
    <t>（本年度出院患者次均医药费用－上一年度出院患者次均医药费用）/上一年度出院患者次均医药费用*100</t>
  </si>
  <si>
    <t>门诊次均药品费用增幅</t>
  </si>
  <si>
    <t>（本年度门诊患者次均药品费用－上一年度门诊患者次均药品费用）/上一年度门诊患者次均药品费用*100</t>
  </si>
  <si>
    <t>住院次均药品费用增幅</t>
  </si>
  <si>
    <t>（本年度出院患者次均药品费用－上一年度出院患者次均药品费用）/上一年度出院患者次均药品费用*100</t>
  </si>
  <si>
    <t>麻醉医师占比</t>
  </si>
  <si>
    <t>医院注册的麻醉在岗医师数/全院同期医师总数*100</t>
  </si>
  <si>
    <t>儿科医师占比</t>
  </si>
  <si>
    <t>医院注册的儿科在岗医师数/全院同期医师总数*100</t>
  </si>
  <si>
    <t>重症医师占比</t>
  </si>
  <si>
    <t>医院注册的重症在岗医师数/全院同期医师总数*100</t>
  </si>
  <si>
    <t>病理医师占比</t>
  </si>
  <si>
    <t>医院注册的病理在岗医师数/全院同期医师总数*100</t>
  </si>
  <si>
    <t>中医医师占比</t>
  </si>
  <si>
    <t>医院注册的中医在岗医师数/全院同期医师总数*100</t>
  </si>
  <si>
    <t>医护比</t>
  </si>
  <si>
    <t>参考国考手册，原计量单位为比值（1:X），现改为小数</t>
  </si>
  <si>
    <t>医院注册医师总数/全院同期注册护士总数</t>
  </si>
  <si>
    <t>医师人数</t>
  </si>
  <si>
    <t>详见国考手册中，医护比定义</t>
  </si>
  <si>
    <t>护士人数</t>
  </si>
  <si>
    <t>医院感染管理专职人员数与开放床位数比</t>
  </si>
  <si>
    <t>医院感染管理专职人员数/同期全院实际开放床位数</t>
  </si>
  <si>
    <t>卫生技术人员副高及以上职称占比</t>
  </si>
  <si>
    <t>参考三级公立、二级公立国考手册，原指标名为：卫生技术人员职称结构</t>
  </si>
  <si>
    <t>医院具有高级职称的医务人员数/全院同期医务人员总数*100</t>
  </si>
  <si>
    <t>医院接受其他医院进修并返回原医院独立工作人数占比</t>
  </si>
  <si>
    <t>科教科</t>
  </si>
  <si>
    <t>参考三级中医、三级公立国考手册，原指标名为：医院接受其他医院（尤其是对口支援医院、医联体内医院）进修并返回原医院独立工作人数占比。考核年度内医院接受其他医院（尤其是对口支援医院、医联体内医院）人员进修培训且返回原单位总人数占同期招收进修总人数的比例</t>
  </si>
  <si>
    <t>医院住院医师首次参加医师资格考试通过率</t>
  </si>
  <si>
    <t>本年度首次参加医师资格考试并通过的住院医师人数/同期首次参加医师资格考试的住院医师总人数*100</t>
  </si>
  <si>
    <t>医院在医学人才培养方面的经费投入占比</t>
  </si>
  <si>
    <t>参考三级中医、三级公立国考手册，医院承担培养医学人才的工作成效的构成元素</t>
  </si>
  <si>
    <t>（院校医学教学经费投入+毕业后医学教育经费投入+继续医学教育经费投入）/医院当年总费用*100</t>
  </si>
  <si>
    <t>临床带教教师和指导医师接受教育教学培训占比</t>
  </si>
  <si>
    <t>临床带教教师和指导医师接受省级及以上教育教学培训且取得培训合格证书的人数/临床带教教师和指导医师人数*100</t>
  </si>
  <si>
    <t>医院医学教育专职管理人员数与医院教育培训学员数之比</t>
  </si>
  <si>
    <t>参考三级中医、三级公立国考手册，医院承担培养医学人才的工作成效的构成元素。原计量单位为比值（1:X），现改为小数</t>
  </si>
  <si>
    <t>（本年度院校医学教育专职管理人员数+毕业后医学教育专职管理人员数+继续医学教育专职管理人员数）/同期医院教育培训学员数</t>
  </si>
  <si>
    <t>发表教学文章数与卫生技术人员数之比</t>
  </si>
  <si>
    <t>本年度发表的教学文章数/同期卫生技术人员总数</t>
  </si>
  <si>
    <t>省部级及以上教育教学课题数与卫生技术人员数之比</t>
  </si>
  <si>
    <t>参考三级中医、三级公立国考手册，医院承担培养医学人才的工作成效的构成元素。本指标为延伸指标。原计量单位为比值（1:X），现改为小数</t>
  </si>
  <si>
    <t>本年度获得的省部级及以上教育教学课题数/同期卫生技术人员总数</t>
  </si>
  <si>
    <t>国家级继续医学教育项目数与卫生技术人员数之比</t>
  </si>
  <si>
    <t>本年度举办的国家级继续医学教育项目数/同期卫生技术人员总数</t>
  </si>
  <si>
    <t>每百名卫生技术人员科研项目经费</t>
  </si>
  <si>
    <t>元</t>
  </si>
  <si>
    <t>本年度科研项目立项经费总金额/同期卫生技术人员总数*100</t>
  </si>
  <si>
    <t>每百名卫生技术人员科研成果转化金额</t>
  </si>
  <si>
    <t>本年度科技成果转化总金额/同期医院卫生技术人员总数*100</t>
  </si>
  <si>
    <t>医师人均国家自然科学基金项目数量</t>
  </si>
  <si>
    <t>项</t>
  </si>
  <si>
    <t>说明：本年度成功立项的项目数量。要求本科室为主研单位</t>
  </si>
  <si>
    <t>医师人均SCI文章数量</t>
  </si>
  <si>
    <t>篇</t>
  </si>
  <si>
    <t>说明：本年度成功发表的论文，要求第一作者或通讯作者为本院员工</t>
  </si>
  <si>
    <t>SCI平均影响因子</t>
  </si>
  <si>
    <t>分</t>
  </si>
  <si>
    <t>博士研究生导师占比</t>
  </si>
  <si>
    <t>博士研究生导师人数/同期医师总数*100</t>
  </si>
  <si>
    <t>硕士研究生导师占比</t>
  </si>
  <si>
    <t>硕士研究生导师人数/同期医师总数*100</t>
  </si>
  <si>
    <t>外省住院患者占比</t>
  </si>
  <si>
    <t>外省住院患者人数/同期出院患者人次数*100</t>
  </si>
  <si>
    <t>非医嘱离院率</t>
  </si>
  <si>
    <t>非医嘱离院人次/同期出院患者总人次*100</t>
  </si>
  <si>
    <t>医疗直接成本</t>
  </si>
  <si>
    <t>门诊收入占医疗收入比例</t>
  </si>
  <si>
    <t>门诊收入/医疗收入*100</t>
  </si>
  <si>
    <t>住院收入占医疗收入比例</t>
  </si>
  <si>
    <t>住院收入/医疗收入*100</t>
  </si>
  <si>
    <t>医师高级职称占比</t>
  </si>
  <si>
    <t>(正高职称医师人数+副高职称医师人数)/医师人数*100</t>
  </si>
  <si>
    <t>医师博士占比</t>
  </si>
  <si>
    <t>博士医师人数/医师人数*100</t>
  </si>
  <si>
    <t>医师硕士占比</t>
  </si>
  <si>
    <t>硕士医师人数/医师人数*100</t>
  </si>
  <si>
    <t>是否为教育部或科技部重点学科或重点实验室</t>
  </si>
  <si>
    <t>是填1,否填0</t>
  </si>
  <si>
    <t>是否为国家卫健委临床重点专科</t>
  </si>
  <si>
    <t>是否为国家中医药局重点专科</t>
  </si>
  <si>
    <t>是否为省教育厅或科技厅重点学科或重点实验室</t>
  </si>
  <si>
    <t>是否为省卫健委重点专科</t>
  </si>
  <si>
    <t>是否为省中医药局重点专科</t>
  </si>
  <si>
    <t>是否为地市级教育局或科技局重点学科或重点实验室</t>
  </si>
  <si>
    <t>是否为地市级卫健委重点专科</t>
  </si>
  <si>
    <t>是否为地市级中医药局重点专科</t>
  </si>
  <si>
    <t>是否为县级教育局或科技局重点学科或重点实验室</t>
  </si>
  <si>
    <t>是否为县级卫健委重点专科</t>
  </si>
  <si>
    <t>是否为县级中医药局重点专科</t>
  </si>
  <si>
    <t>第一顺位疾病名称</t>
  </si>
  <si>
    <t>第一顺位疾病编码</t>
  </si>
  <si>
    <t>第一顺位疾病占比</t>
  </si>
  <si>
    <t>第二顺位疾病名称</t>
  </si>
  <si>
    <t>第二顺位疾病编码</t>
  </si>
  <si>
    <t>第二顺位疾病占比</t>
  </si>
  <si>
    <t>第三顺位疾病名称</t>
  </si>
  <si>
    <t>第三顺位疾病编码</t>
  </si>
  <si>
    <t>第三顺位疾病占比</t>
  </si>
  <si>
    <t>第四顺位疾病名称</t>
  </si>
  <si>
    <t>第四顺位疾病编码</t>
  </si>
  <si>
    <t>第四顺位疾病占比</t>
  </si>
  <si>
    <t>第五顺位疾病名称</t>
  </si>
  <si>
    <t>第五顺位疾病编码</t>
  </si>
  <si>
    <t>第五顺位疾病占比</t>
  </si>
  <si>
    <t>第一顺位手术名称</t>
  </si>
  <si>
    <t>第一顺位手术编码</t>
  </si>
  <si>
    <t>第一顺位手术占比</t>
  </si>
  <si>
    <t>第二顺位手术名称</t>
  </si>
  <si>
    <t>第二顺位手术编码</t>
  </si>
  <si>
    <t>第二顺位手术占比</t>
  </si>
  <si>
    <t>第三顺位手术名称</t>
  </si>
  <si>
    <t>第三顺位手术编码</t>
  </si>
  <si>
    <t>第三顺位手术占比</t>
  </si>
  <si>
    <t>第四顺位手术名称</t>
  </si>
  <si>
    <t>第四顺位手术编码</t>
  </si>
  <si>
    <t>第四顺位手术占比</t>
  </si>
  <si>
    <t>第五顺位手术名称</t>
  </si>
  <si>
    <t>第五顺位手术编码</t>
  </si>
  <si>
    <t>第五顺位手术占比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</si>
</sst>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6" formatCode="0.00_ "/>
    <numFmt numFmtId="177" formatCode="0.00_);[Red]\(0.00\)"/>
    <numFmt numFmtId="178" formatCode="0.000_ "/>
    <numFmt numFmtId="179" formatCode="0.00000_ "/>
    <numFmt numFmtId="180" formatCode="0.0000_ "/>
    <numFmt numFmtId="181" formatCode="0.0_ "/>
    <numFmt numFmtId="182" formatCode="0_ "/>
    <numFmt numFmtId="183" formatCode="0.000%"/>
    <numFmt numFmtId="184" formatCode="0.00;_Ā"/>
  </numFmts>
  <fonts count="11" x14ac:knownFonts="1">
    <font>
      <sz val="12"/>
      <color theme="1"/>
      <name val="宋体"/>
      <charset val="134"/>
      <scheme val="minor"/>
    </font>
    <font>
      <sz val="11"/>
      <color theme="1"/>
      <name val="宋体"/>
      <charset val="134"/>
      <scheme val="minor"/>
    </font>
    <font>
      <b/>
      <sz val="11"/>
      <color theme="1"/>
      <name val="宋体"/>
      <charset val="134"/>
      <scheme val="minor"/>
    </font>
    <font>
      <b/>
      <sz val="12"/>
      <color rgb="FFFF0000"/>
      <name val="宋体"/>
      <charset val="134"/>
      <scheme val="minor"/>
    </font>
    <font>
      <sz val="12"/>
      <name val="宋体"/>
      <charset val="134"/>
      <scheme val="minor"/>
    </font>
    <font>
      <sz val="10"/>
      <color theme="1"/>
      <name val="宋体"/>
      <charset val="134"/>
    </font>
    <font>
      <sz val="12"/>
      <color theme="1"/>
      <name val="宋体"/>
      <charset val="134"/>
    </font>
    <font>
      <sz val="12"/>
      <name val="宋体"/>
      <charset val="134"/>
    </font>
    <font>
      <sz val="10"/>
      <color theme="1"/>
      <name val="Arial"/>
      <family val="2"/>
    </font>
    <font>
      <sz val="12"/>
      <color theme="1"/>
      <name val="宋体"/>
      <charset val="134"/>
      <scheme val="minor"/>
    </font>
    <font>
      <sz val="9"/>
      <name val="宋体"/>
      <charset val="134"/>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bgColor indexed="64"/>
      </patternFill>
    </fill>
    <fill>
      <patternFill patternType="solid">
        <fgColor theme="4" tint="0.79985961485641044"/>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theme="4" tint="0.39982299264503923"/>
      </bottom>
      <diagonal/>
    </border>
  </borders>
  <cellStyleXfs count="3">
    <xf numFmtId="0" fontId="0" fillId="0" borderId="0"/>
    <xf numFmtId="9" fontId="9" fillId="0" borderId="0" applyFont="0" applyFill="0" applyBorder="0" applyAlignment="0" applyProtection="0">
      <alignment vertical="center"/>
    </xf>
    <xf numFmtId="0" fontId="8" fillId="0" borderId="0"/>
  </cellStyleXfs>
  <cellXfs count="79">
    <xf numFmtId="0" fontId="0" fillId="0" borderId="0" xfId="0" applyNumberFormat="1"/>
    <xf numFmtId="0" fontId="0" fillId="0" borderId="0" xfId="0" applyNumberFormat="1" applyAlignment="1">
      <alignment horizontal="center"/>
    </xf>
    <xf numFmtId="0" fontId="0" fillId="0" borderId="1" xfId="2" applyFont="1" applyBorder="1" applyAlignment="1">
      <alignment horizontal="center"/>
    </xf>
    <xf numFmtId="0" fontId="0" fillId="0" borderId="1" xfId="0" applyBorder="1" applyAlignment="1">
      <alignment horizontal="center" vertical="center"/>
    </xf>
    <xf numFmtId="10" fontId="1" fillId="0" borderId="1" xfId="0" applyNumberFormat="1" applyFont="1" applyFill="1" applyBorder="1" applyAlignment="1">
      <alignment horizontal="center" vertical="center"/>
    </xf>
    <xf numFmtId="176" fontId="0" fillId="0" borderId="1" xfId="2" applyNumberFormat="1" applyFont="1" applyBorder="1"/>
    <xf numFmtId="0" fontId="0" fillId="0" borderId="1" xfId="2" applyFont="1" applyBorder="1"/>
    <xf numFmtId="0" fontId="0" fillId="0" borderId="1" xfId="0" applyBorder="1" applyAlignment="1">
      <alignment vertical="center"/>
    </xf>
    <xf numFmtId="0" fontId="1" fillId="0"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xf>
    <xf numFmtId="177" fontId="0" fillId="0" borderId="0" xfId="0" applyNumberFormat="1"/>
    <xf numFmtId="178" fontId="0" fillId="0" borderId="1" xfId="2" applyNumberFormat="1" applyFont="1" applyBorder="1"/>
    <xf numFmtId="176" fontId="0" fillId="0" borderId="1" xfId="2" applyNumberFormat="1" applyFont="1" applyBorder="1" applyAlignment="1">
      <alignment horizontal="center"/>
    </xf>
    <xf numFmtId="176" fontId="0" fillId="2" borderId="0" xfId="0" applyNumberFormat="1" applyFill="1" applyAlignment="1">
      <alignment horizontal="center"/>
    </xf>
    <xf numFmtId="0" fontId="0" fillId="0" borderId="0" xfId="0" applyAlignment="1">
      <alignment horizontal="center" vertical="center"/>
    </xf>
    <xf numFmtId="0" fontId="1" fillId="0" borderId="0" xfId="0" applyNumberFormat="1" applyFont="1" applyFill="1" applyAlignment="1">
      <alignment horizontal="center" vertical="center"/>
    </xf>
    <xf numFmtId="177" fontId="0" fillId="0" borderId="0" xfId="0" applyNumberFormat="1" applyAlignment="1">
      <alignment horizontal="center"/>
    </xf>
    <xf numFmtId="0" fontId="0" fillId="0" borderId="0" xfId="0" applyAlignment="1">
      <alignment vertical="center"/>
    </xf>
    <xf numFmtId="176" fontId="0" fillId="2" borderId="0" xfId="0" applyNumberFormat="1" applyFill="1"/>
    <xf numFmtId="176" fontId="0" fillId="2" borderId="1" xfId="2" applyNumberFormat="1" applyFont="1" applyFill="1" applyBorder="1"/>
    <xf numFmtId="179" fontId="0" fillId="0" borderId="1" xfId="2" applyNumberFormat="1" applyFont="1" applyBorder="1"/>
    <xf numFmtId="0" fontId="0" fillId="0" borderId="2" xfId="2" applyFont="1" applyFill="1" applyBorder="1"/>
    <xf numFmtId="0" fontId="2" fillId="0" borderId="3" xfId="0" applyNumberFormat="1" applyFont="1" applyFill="1" applyBorder="1" applyAlignment="1">
      <alignment vertical="center"/>
    </xf>
    <xf numFmtId="177" fontId="1" fillId="0" borderId="0" xfId="0" applyNumberFormat="1" applyFont="1" applyFill="1" applyBorder="1" applyAlignment="1">
      <alignment horizontal="left" vertical="center"/>
    </xf>
    <xf numFmtId="177" fontId="1" fillId="0" borderId="0" xfId="0" applyNumberFormat="1" applyFont="1" applyFill="1" applyAlignment="1">
      <alignment vertical="center"/>
    </xf>
    <xf numFmtId="177" fontId="2" fillId="0" borderId="0" xfId="0" applyNumberFormat="1" applyFont="1" applyFill="1" applyBorder="1" applyAlignment="1">
      <alignment vertical="center"/>
    </xf>
    <xf numFmtId="177" fontId="1" fillId="0" borderId="3" xfId="0" applyNumberFormat="1" applyFont="1" applyFill="1" applyBorder="1" applyAlignment="1">
      <alignment horizontal="left" vertical="center"/>
    </xf>
    <xf numFmtId="177" fontId="2" fillId="0" borderId="3" xfId="0" applyNumberFormat="1" applyFont="1" applyFill="1" applyBorder="1" applyAlignment="1">
      <alignment vertical="center"/>
    </xf>
    <xf numFmtId="177" fontId="1" fillId="0" borderId="0" xfId="0" applyNumberFormat="1" applyFont="1" applyFill="1" applyAlignment="1">
      <alignment horizontal="left" vertical="center"/>
    </xf>
    <xf numFmtId="178" fontId="0" fillId="2" borderId="0" xfId="0" applyNumberFormat="1" applyFill="1"/>
    <xf numFmtId="176" fontId="0" fillId="0" borderId="0" xfId="0" applyNumberFormat="1" applyAlignment="1">
      <alignment horizontal="center"/>
    </xf>
    <xf numFmtId="0" fontId="3" fillId="0" borderId="1" xfId="0" applyNumberFormat="1" applyFont="1" applyFill="1" applyBorder="1" applyAlignment="1"/>
    <xf numFmtId="180" fontId="0" fillId="0" borderId="1" xfId="2" applyNumberFormat="1" applyFont="1" applyBorder="1"/>
    <xf numFmtId="181" fontId="0" fillId="0" borderId="1" xfId="2" applyNumberFormat="1" applyFont="1" applyBorder="1"/>
    <xf numFmtId="176" fontId="0" fillId="2" borderId="0" xfId="0" applyNumberFormat="1" applyFont="1" applyFill="1" applyAlignment="1">
      <alignment horizontal="center"/>
    </xf>
    <xf numFmtId="176" fontId="0" fillId="2" borderId="0" xfId="0" applyNumberFormat="1" applyFont="1" applyFill="1" applyAlignment="1"/>
    <xf numFmtId="0" fontId="0" fillId="2" borderId="0" xfId="0" applyNumberFormat="1" applyFill="1"/>
    <xf numFmtId="182" fontId="0" fillId="0" borderId="1" xfId="2" applyNumberFormat="1" applyFont="1" applyBorder="1"/>
    <xf numFmtId="10" fontId="1" fillId="0" borderId="0" xfId="0" applyNumberFormat="1" applyFont="1" applyFill="1" applyAlignment="1">
      <alignment horizontal="center" vertical="center"/>
    </xf>
    <xf numFmtId="0" fontId="3" fillId="0" borderId="1" xfId="2" applyFont="1" applyFill="1" applyBorder="1" applyAlignment="1"/>
    <xf numFmtId="0" fontId="3" fillId="0" borderId="1" xfId="0" applyNumberFormat="1" applyFont="1" applyBorder="1"/>
    <xf numFmtId="176" fontId="3" fillId="0" borderId="1" xfId="2" applyNumberFormat="1" applyFont="1" applyFill="1" applyBorder="1" applyAlignment="1"/>
    <xf numFmtId="183" fontId="0" fillId="2" borderId="0" xfId="1" applyNumberFormat="1" applyFont="1" applyFill="1" applyAlignment="1"/>
    <xf numFmtId="176" fontId="0" fillId="0" borderId="0" xfId="0" applyNumberFormat="1"/>
    <xf numFmtId="182" fontId="0" fillId="0" borderId="0" xfId="0" applyNumberFormat="1"/>
    <xf numFmtId="176" fontId="1" fillId="0" borderId="1" xfId="0" applyNumberFormat="1" applyFont="1" applyFill="1" applyBorder="1" applyAlignment="1">
      <alignment horizontal="right" vertical="center"/>
    </xf>
    <xf numFmtId="176" fontId="0" fillId="2" borderId="0" xfId="1" applyNumberFormat="1" applyFont="1" applyFill="1" applyAlignment="1"/>
    <xf numFmtId="176" fontId="0" fillId="2" borderId="0" xfId="1" applyNumberFormat="1" applyFont="1" applyFill="1" applyBorder="1" applyAlignment="1" applyProtection="1"/>
    <xf numFmtId="184" fontId="0" fillId="0" borderId="1" xfId="2" applyNumberFormat="1" applyFont="1" applyBorder="1"/>
    <xf numFmtId="176" fontId="0" fillId="0" borderId="1" xfId="0" applyNumberFormat="1" applyBorder="1"/>
    <xf numFmtId="177" fontId="0" fillId="0" borderId="1" xfId="0" applyNumberFormat="1" applyBorder="1"/>
    <xf numFmtId="0" fontId="2" fillId="0" borderId="1" xfId="0" applyNumberFormat="1" applyFont="1" applyFill="1" applyBorder="1" applyAlignment="1">
      <alignment vertical="center"/>
    </xf>
    <xf numFmtId="177" fontId="1" fillId="0" borderId="1" xfId="0" applyNumberFormat="1" applyFont="1" applyFill="1" applyBorder="1" applyAlignment="1">
      <alignment horizontal="left" vertical="center"/>
    </xf>
    <xf numFmtId="177" fontId="1" fillId="0" borderId="1" xfId="0" applyNumberFormat="1" applyFont="1" applyFill="1" applyBorder="1" applyAlignment="1">
      <alignment vertical="center"/>
    </xf>
    <xf numFmtId="177" fontId="2" fillId="0" borderId="1" xfId="0" applyNumberFormat="1" applyFont="1" applyFill="1" applyBorder="1" applyAlignment="1">
      <alignment vertical="center"/>
    </xf>
    <xf numFmtId="0" fontId="0" fillId="0" borderId="0" xfId="0" applyNumberFormat="1" applyFont="1"/>
    <xf numFmtId="176" fontId="1" fillId="0" borderId="0" xfId="0" applyNumberFormat="1" applyFont="1" applyFill="1" applyAlignment="1">
      <alignment horizontal="center" vertical="center"/>
    </xf>
    <xf numFmtId="0" fontId="0" fillId="0" borderId="0" xfId="0" applyNumberFormat="1" applyBorder="1"/>
    <xf numFmtId="0" fontId="0" fillId="0" borderId="1" xfId="0" applyNumberFormat="1" applyBorder="1"/>
    <xf numFmtId="182" fontId="0" fillId="0" borderId="1" xfId="0" applyNumberFormat="1" applyBorder="1" applyAlignment="1">
      <alignment horizontal="right"/>
    </xf>
    <xf numFmtId="0" fontId="4" fillId="0" borderId="0" xfId="0" applyNumberFormat="1" applyFont="1"/>
    <xf numFmtId="0" fontId="0" fillId="3" borderId="0" xfId="0" applyNumberFormat="1" applyFont="1" applyFill="1"/>
    <xf numFmtId="176" fontId="0" fillId="2" borderId="1" xfId="0" applyNumberFormat="1" applyFill="1" applyBorder="1" applyAlignment="1">
      <alignment horizontal="right"/>
    </xf>
    <xf numFmtId="176" fontId="5" fillId="2" borderId="1" xfId="0" applyNumberFormat="1" applyFont="1" applyFill="1" applyBorder="1" applyAlignment="1">
      <alignment horizontal="right" vertical="center"/>
    </xf>
    <xf numFmtId="0" fontId="0" fillId="2" borderId="1" xfId="0" applyNumberFormat="1" applyFill="1" applyBorder="1" applyAlignment="1">
      <alignment horizontal="right"/>
    </xf>
    <xf numFmtId="0" fontId="0" fillId="0" borderId="1" xfId="0" applyNumberFormat="1" applyBorder="1" applyAlignment="1">
      <alignment horizontal="right"/>
    </xf>
    <xf numFmtId="0" fontId="0" fillId="0" borderId="1" xfId="0" applyBorder="1" applyAlignment="1">
      <alignment horizontal="right"/>
    </xf>
    <xf numFmtId="176" fontId="0" fillId="0" borderId="1" xfId="0" applyNumberFormat="1" applyBorder="1" applyAlignment="1">
      <alignment horizontal="right"/>
    </xf>
    <xf numFmtId="49" fontId="0" fillId="0" borderId="1" xfId="0" applyNumberFormat="1" applyBorder="1" applyAlignment="1">
      <alignment horizontal="right"/>
    </xf>
    <xf numFmtId="0" fontId="6" fillId="4" borderId="1" xfId="0" applyFont="1" applyFill="1" applyBorder="1" applyAlignment="1">
      <alignment vertical="center" wrapText="1"/>
    </xf>
    <xf numFmtId="0" fontId="6" fillId="4" borderId="1" xfId="0" applyFont="1" applyFill="1" applyBorder="1" applyAlignment="1">
      <alignment horizontal="right" vertical="center" wrapText="1"/>
    </xf>
    <xf numFmtId="0" fontId="5" fillId="0" borderId="0" xfId="0" applyFont="1" applyBorder="1" applyAlignment="1">
      <alignment horizontal="right" vertical="center"/>
    </xf>
    <xf numFmtId="178" fontId="0" fillId="0" borderId="1" xfId="0" applyNumberFormat="1" applyBorder="1"/>
    <xf numFmtId="0" fontId="7" fillId="5" borderId="1" xfId="0" applyNumberFormat="1" applyFont="1" applyFill="1" applyBorder="1" applyAlignment="1"/>
    <xf numFmtId="176" fontId="7" fillId="5" borderId="1" xfId="0" applyNumberFormat="1" applyFont="1" applyFill="1" applyBorder="1" applyAlignment="1"/>
    <xf numFmtId="0" fontId="7" fillId="5" borderId="1" xfId="0" applyNumberFormat="1" applyFont="1" applyFill="1" applyBorder="1" applyAlignment="1">
      <alignment horizontal="right"/>
    </xf>
    <xf numFmtId="0" fontId="7" fillId="5" borderId="1" xfId="0" applyNumberFormat="1" applyFont="1" applyFill="1" applyBorder="1" applyAlignment="1">
      <alignment vertical="center"/>
    </xf>
    <xf numFmtId="176" fontId="7" fillId="5" borderId="1" xfId="0" applyNumberFormat="1" applyFont="1" applyFill="1" applyBorder="1" applyAlignment="1">
      <alignment vertical="center"/>
    </xf>
    <xf numFmtId="178" fontId="7" fillId="5" borderId="1" xfId="0" applyNumberFormat="1" applyFont="1" applyFill="1" applyBorder="1" applyAlignment="1">
      <alignment vertical="center"/>
    </xf>
  </cellXfs>
  <cellStyles count="3">
    <cellStyle name="Normal" xfId="2" xr:uid="{00000000-0005-0000-0000-000000000000}"/>
    <cellStyle name="百分比" xfId="1" builtinId="5"/>
    <cellStyle name="常规" xfId="0" builtinId="0"/>
  </cellStyles>
  <dxfs count="29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2.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WeChat%20Files\sgqy04\FileStorage\File\2022-07\2019-2021&#20840;&#38498;&#21508;&#31185;&#21069;5&#31181;&#30142;&#30149;&#25490;&#2151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Documents\WeChat%20Files\sgqy04\FileStorage\File\2022-07\2019-2021&#20840;&#38498;&#21508;&#31185;&#21069;5&#31181;&#25163;&#26415;&#25490;&#215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大心血管科"/>
      <sheetName val="心血管内科"/>
      <sheetName val="心脏外科"/>
      <sheetName val="大骨科"/>
      <sheetName val="脊柱外科"/>
      <sheetName val="创伤骨科"/>
      <sheetName val="关节骨病科"/>
      <sheetName val="妇科"/>
      <sheetName val="头颈乳腺外科"/>
      <sheetName val="胃肠外科"/>
      <sheetName val="胸外科"/>
      <sheetName val="神经外科"/>
      <sheetName val="肝胆外科"/>
      <sheetName val="泌尿外科"/>
      <sheetName val="麻醉科"/>
      <sheetName val="呼吸内科"/>
      <sheetName val="消化内科"/>
      <sheetName val="康复医学科"/>
      <sheetName val="血液内科"/>
      <sheetName val="神经内科"/>
      <sheetName val="放射治疗科"/>
      <sheetName val="肾内科"/>
      <sheetName val="重症医学科"/>
      <sheetName val="内分泌内科"/>
      <sheetName val="眼科"/>
      <sheetName val="耳鼻喉科"/>
      <sheetName val="疼痛科"/>
      <sheetName val="口腔科"/>
      <sheetName val="烧伤整形科"/>
      <sheetName val="肛肠科"/>
      <sheetName val="产科"/>
      <sheetName val="小儿外科"/>
      <sheetName val="中医科"/>
      <sheetName val="全科医学科"/>
      <sheetName val="肿瘤内科"/>
      <sheetName val="皮肤科"/>
      <sheetName val="急诊科"/>
      <sheetName val="风湿免疫内科"/>
      <sheetName val="市区分院"/>
      <sheetName val="儿科"/>
      <sheetName val="新生儿科"/>
      <sheetName val="儿童康复科"/>
      <sheetName val="生殖中心"/>
      <sheetName val="Sheet40"/>
    </sheetNames>
    <sheetDataSet>
      <sheetData sheetId="0">
        <row r="4">
          <cell r="B4" t="str">
            <v>I20</v>
          </cell>
          <cell r="C4" t="str">
            <v>心绞痛</v>
          </cell>
          <cell r="E4">
            <v>18.655704356670601</v>
          </cell>
          <cell r="H4" t="str">
            <v>I20</v>
          </cell>
          <cell r="I4" t="str">
            <v>心绞痛</v>
          </cell>
          <cell r="K4">
            <v>19.1295638714377</v>
          </cell>
          <cell r="N4" t="str">
            <v>I20</v>
          </cell>
          <cell r="O4" t="str">
            <v>心绞痛</v>
          </cell>
          <cell r="Q4">
            <v>20.560214966208001</v>
          </cell>
        </row>
        <row r="5">
          <cell r="B5" t="str">
            <v>I25.1</v>
          </cell>
          <cell r="C5" t="str">
            <v>冠状动脉粥样硬化性心脏病</v>
          </cell>
          <cell r="E5">
            <v>13.5107645363621</v>
          </cell>
          <cell r="H5" t="str">
            <v>I25.1</v>
          </cell>
          <cell r="I5" t="str">
            <v>冠状动脉粥样硬化性心脏病</v>
          </cell>
          <cell r="K5">
            <v>13.1931166347992</v>
          </cell>
          <cell r="N5" t="str">
            <v>I25.1</v>
          </cell>
          <cell r="O5" t="str">
            <v>冠状动脉粥样硬化性心脏病</v>
          </cell>
          <cell r="Q5">
            <v>13.907662242488399</v>
          </cell>
        </row>
        <row r="6">
          <cell r="B6" t="str">
            <v>I21</v>
          </cell>
          <cell r="C6" t="str">
            <v>急性心肌梗死</v>
          </cell>
          <cell r="E6">
            <v>10.5865400915409</v>
          </cell>
          <cell r="H6" t="str">
            <v>I21</v>
          </cell>
          <cell r="I6" t="str">
            <v>急性心肌梗死</v>
          </cell>
          <cell r="K6">
            <v>11.344805608667899</v>
          </cell>
          <cell r="N6" t="str">
            <v>I21</v>
          </cell>
          <cell r="O6" t="str">
            <v>急性心肌梗死</v>
          </cell>
          <cell r="Q6">
            <v>10.162038921911901</v>
          </cell>
        </row>
        <row r="7">
          <cell r="B7" t="str">
            <v>I63</v>
          </cell>
          <cell r="C7" t="str">
            <v>脑梗死</v>
          </cell>
          <cell r="E7">
            <v>5.2975080522122404</v>
          </cell>
          <cell r="H7" t="str">
            <v>I63</v>
          </cell>
          <cell r="I7" t="str">
            <v>脑梗死</v>
          </cell>
          <cell r="K7">
            <v>4.1427660930528996</v>
          </cell>
          <cell r="N7" t="str">
            <v>I38</v>
          </cell>
          <cell r="O7" t="str">
            <v>瓣膜心内膜炎</v>
          </cell>
          <cell r="Q7">
            <v>4.2748961810927497</v>
          </cell>
        </row>
        <row r="8">
          <cell r="B8" t="str">
            <v>I10</v>
          </cell>
          <cell r="C8" t="str">
            <v>特发性(原发性)高血压</v>
          </cell>
          <cell r="E8">
            <v>4.14477030005086</v>
          </cell>
          <cell r="H8" t="str">
            <v>I50</v>
          </cell>
          <cell r="I8" t="str">
            <v>心力衰竭</v>
          </cell>
          <cell r="K8">
            <v>3.42347263953382</v>
          </cell>
          <cell r="N8" t="str">
            <v>I63</v>
          </cell>
          <cell r="O8" t="str">
            <v>脑梗死</v>
          </cell>
          <cell r="Q8">
            <v>3.4850582200146598</v>
          </cell>
        </row>
      </sheetData>
      <sheetData sheetId="1">
        <row r="4">
          <cell r="E4">
            <v>19.9600979414165</v>
          </cell>
          <cell r="K4">
            <v>20.321114227681601</v>
          </cell>
          <cell r="Q4">
            <v>21.872834372834401</v>
          </cell>
        </row>
        <row r="5">
          <cell r="B5" t="str">
            <v>I25.1</v>
          </cell>
          <cell r="C5" t="str">
            <v>冠状动脉粥样硬化性心脏病</v>
          </cell>
          <cell r="E5">
            <v>14.1561621474562</v>
          </cell>
          <cell r="H5" t="str">
            <v>I25.1</v>
          </cell>
          <cell r="I5" t="str">
            <v>冠状动脉粥样硬化性心脏病</v>
          </cell>
          <cell r="K5">
            <v>14.014895057549101</v>
          </cell>
          <cell r="N5" t="str">
            <v>I25.1</v>
          </cell>
          <cell r="O5" t="str">
            <v>冠状动脉粥样硬化性心脏病</v>
          </cell>
          <cell r="Q5">
            <v>14.310464310464299</v>
          </cell>
        </row>
        <row r="6">
          <cell r="B6" t="str">
            <v>I21</v>
          </cell>
          <cell r="C6" t="str">
            <v>急性心肌梗死</v>
          </cell>
          <cell r="E6">
            <v>11.326743447900601</v>
          </cell>
          <cell r="H6" t="str">
            <v>I21</v>
          </cell>
          <cell r="I6" t="str">
            <v>急性心肌梗死</v>
          </cell>
          <cell r="K6">
            <v>12.0514556533514</v>
          </cell>
          <cell r="N6" t="str">
            <v>I21</v>
          </cell>
          <cell r="O6" t="str">
            <v>急性心肌梗死</v>
          </cell>
          <cell r="Q6">
            <v>10.8108108108108</v>
          </cell>
        </row>
        <row r="7">
          <cell r="B7" t="str">
            <v>I63</v>
          </cell>
          <cell r="C7" t="str">
            <v>脑梗死</v>
          </cell>
          <cell r="E7">
            <v>5.66790604878934</v>
          </cell>
          <cell r="H7" t="str">
            <v>I63</v>
          </cell>
          <cell r="I7" t="str">
            <v>脑梗死</v>
          </cell>
          <cell r="K7">
            <v>4.4008124576845002</v>
          </cell>
          <cell r="N7" t="str">
            <v>I38</v>
          </cell>
          <cell r="O7" t="str">
            <v>瓣膜心内膜炎</v>
          </cell>
          <cell r="Q7">
            <v>3.9674289674289702</v>
          </cell>
        </row>
        <row r="8">
          <cell r="B8" t="str">
            <v>I10</v>
          </cell>
          <cell r="C8" t="str">
            <v>特发性(原发性)高血压</v>
          </cell>
          <cell r="E8">
            <v>4.4345696925727802</v>
          </cell>
          <cell r="H8" t="str">
            <v>I50</v>
          </cell>
          <cell r="I8" t="str">
            <v>心力衰竭</v>
          </cell>
          <cell r="K8">
            <v>3.6367153496469702</v>
          </cell>
          <cell r="N8" t="str">
            <v>I63</v>
          </cell>
          <cell r="O8" t="str">
            <v>脑梗死</v>
          </cell>
          <cell r="Q8">
            <v>3.7075537075537102</v>
          </cell>
        </row>
      </sheetData>
      <sheetData sheetId="2">
        <row r="4">
          <cell r="B4" t="str">
            <v>I71</v>
          </cell>
          <cell r="C4" t="str">
            <v>主动脉瘤和主动脉夹层</v>
          </cell>
          <cell r="E4">
            <v>29.442282749675702</v>
          </cell>
          <cell r="H4" t="str">
            <v>I71.</v>
          </cell>
          <cell r="I4" t="str">
            <v>主动脉瘤和主动脉夹层</v>
          </cell>
          <cell r="K4">
            <v>33.8509316770186</v>
          </cell>
          <cell r="N4" t="str">
            <v>I71</v>
          </cell>
          <cell r="O4" t="str">
            <v>主动脉瘤和主动脉夹层</v>
          </cell>
          <cell r="Q4">
            <v>25.101763907734099</v>
          </cell>
        </row>
        <row r="5">
          <cell r="B5" t="str">
            <v>I97.1</v>
          </cell>
          <cell r="C5" t="str">
            <v>心脏外科手术后的其他功能性障碍</v>
          </cell>
          <cell r="E5">
            <v>26.7185473411154</v>
          </cell>
          <cell r="H5" t="str">
            <v>I97.1</v>
          </cell>
          <cell r="I5" t="str">
            <v>心脏外科手术后的其他功能性障碍</v>
          </cell>
          <cell r="K5">
            <v>16.4596273291925</v>
          </cell>
          <cell r="N5" t="str">
            <v>I97</v>
          </cell>
          <cell r="O5" t="str">
            <v>循环系统的操作后疾患，不可归类在他处者</v>
          </cell>
          <cell r="Q5">
            <v>12.7544097693351</v>
          </cell>
        </row>
        <row r="6">
          <cell r="B6" t="str">
            <v>I08</v>
          </cell>
          <cell r="C6" t="str">
            <v>风湿性联合瓣膜病</v>
          </cell>
          <cell r="E6">
            <v>8.6900129701686097</v>
          </cell>
          <cell r="H6" t="str">
            <v>I08</v>
          </cell>
          <cell r="I6" t="str">
            <v>风湿性联合瓣膜病</v>
          </cell>
          <cell r="K6">
            <v>10.403726708074499</v>
          </cell>
          <cell r="N6" t="str">
            <v>I08</v>
          </cell>
          <cell r="O6" t="str">
            <v>风湿性联合瓣膜病</v>
          </cell>
          <cell r="Q6">
            <v>10.8548168249661</v>
          </cell>
        </row>
        <row r="7">
          <cell r="B7" t="str">
            <v>Q21</v>
          </cell>
          <cell r="C7" t="str">
            <v>房、室间隔缺损</v>
          </cell>
          <cell r="E7">
            <v>5.7068741893644601</v>
          </cell>
          <cell r="H7" t="str">
            <v>I38.x</v>
          </cell>
          <cell r="I7" t="str">
            <v>瓣膜的心内膜炎</v>
          </cell>
          <cell r="K7">
            <v>5.4347826086956497</v>
          </cell>
          <cell r="N7" t="str">
            <v>I38.x</v>
          </cell>
          <cell r="O7" t="str">
            <v>瓣膜的心内膜炎</v>
          </cell>
          <cell r="Q7">
            <v>9.0909090909090899</v>
          </cell>
        </row>
        <row r="8">
          <cell r="B8" t="str">
            <v>I25.1</v>
          </cell>
          <cell r="C8" t="str">
            <v>冠状动脉硬化性心脏病</v>
          </cell>
          <cell r="E8">
            <v>4.2801556420233497</v>
          </cell>
          <cell r="H8" t="str">
            <v>Q21</v>
          </cell>
          <cell r="I8" t="str">
            <v>房、室间隔缺损</v>
          </cell>
          <cell r="K8">
            <v>4.0372670807453401</v>
          </cell>
          <cell r="N8" t="str">
            <v>I25</v>
          </cell>
          <cell r="O8" t="str">
            <v>冠状动脉硬化性心脏病</v>
          </cell>
          <cell r="Q8">
            <v>7.7340569877883301</v>
          </cell>
        </row>
      </sheetData>
      <sheetData sheetId="3">
        <row r="4">
          <cell r="B4" t="str">
            <v>M51-</v>
          </cell>
          <cell r="C4" t="str">
            <v>腰椎间盘疾患</v>
          </cell>
          <cell r="E4">
            <v>13.876484043132599</v>
          </cell>
          <cell r="H4" t="str">
            <v>M51-</v>
          </cell>
          <cell r="I4" t="str">
            <v>腰椎间盘疾患</v>
          </cell>
          <cell r="K4">
            <v>10.5961042008918</v>
          </cell>
          <cell r="N4" t="str">
            <v>Z47</v>
          </cell>
          <cell r="O4" t="str">
            <v>取除骨折或关节内外固定</v>
          </cell>
          <cell r="Q4">
            <v>10.015068969514299</v>
          </cell>
        </row>
        <row r="5">
          <cell r="B5" t="str">
            <v>Z47.0</v>
          </cell>
          <cell r="C5" t="str">
            <v>取除骨折内固定装置</v>
          </cell>
          <cell r="E5">
            <v>7.8531750353991896</v>
          </cell>
          <cell r="H5" t="str">
            <v>Z47</v>
          </cell>
          <cell r="I5" t="str">
            <v>取除骨折或关节内外固定</v>
          </cell>
          <cell r="K5">
            <v>8.2022999295939893</v>
          </cell>
          <cell r="N5" t="str">
            <v>M51.-</v>
          </cell>
          <cell r="O5" t="str">
            <v>腰椎间盘疾患</v>
          </cell>
          <cell r="Q5">
            <v>10.003477454503299</v>
          </cell>
        </row>
        <row r="6">
          <cell r="B6" t="str">
            <v>S72</v>
          </cell>
          <cell r="C6" t="str">
            <v>股骨骨折</v>
          </cell>
          <cell r="E6">
            <v>5.7727916348981596</v>
          </cell>
          <cell r="H6" t="str">
            <v>S72</v>
          </cell>
          <cell r="I6" t="str">
            <v>股骨骨折</v>
          </cell>
          <cell r="K6">
            <v>4.3534381600563297</v>
          </cell>
          <cell r="N6" t="str">
            <v>S72</v>
          </cell>
          <cell r="O6" t="str">
            <v>股骨骨折</v>
          </cell>
          <cell r="Q6">
            <v>5.5407441752637103</v>
          </cell>
        </row>
        <row r="7">
          <cell r="B7" t="str">
            <v>M80</v>
          </cell>
          <cell r="C7" t="str">
            <v>骨质疏松伴有病理性骨折</v>
          </cell>
          <cell r="E7">
            <v>4.5528809497876104</v>
          </cell>
          <cell r="H7" t="str">
            <v>S42</v>
          </cell>
          <cell r="I7" t="str">
            <v>肱骨骨折</v>
          </cell>
          <cell r="K7">
            <v>3.9192677775170099</v>
          </cell>
          <cell r="N7" t="str">
            <v>S82</v>
          </cell>
          <cell r="O7" t="str">
            <v>小腿骨骨折</v>
          </cell>
          <cell r="Q7">
            <v>4.1149878289092401</v>
          </cell>
        </row>
        <row r="8">
          <cell r="B8" t="str">
            <v>S82</v>
          </cell>
          <cell r="C8" t="str">
            <v>小腿骨骨折</v>
          </cell>
          <cell r="E8">
            <v>4.21522709944451</v>
          </cell>
          <cell r="H8" t="str">
            <v>M80</v>
          </cell>
          <cell r="I8" t="str">
            <v>骨质疏松伴有病理性骨折</v>
          </cell>
          <cell r="K8">
            <v>3.8488617695376699</v>
          </cell>
          <cell r="N8" t="str">
            <v>M80</v>
          </cell>
          <cell r="O8" t="str">
            <v>骨质疏松伴有病理性骨折</v>
          </cell>
          <cell r="Q8">
            <v>4.0338472238321597</v>
          </cell>
        </row>
      </sheetData>
      <sheetData sheetId="4">
        <row r="4">
          <cell r="B4" t="str">
            <v>M51.-</v>
          </cell>
          <cell r="C4" t="str">
            <v>腰椎间盘疾患</v>
          </cell>
          <cell r="E4">
            <v>41.028128031037802</v>
          </cell>
          <cell r="H4" t="str">
            <v>M51.-</v>
          </cell>
          <cell r="I4" t="str">
            <v>腰椎间盘疾患</v>
          </cell>
          <cell r="K4">
            <v>31.169732731690399</v>
          </cell>
          <cell r="N4" t="str">
            <v>M51.-</v>
          </cell>
          <cell r="O4" t="str">
            <v>腰椎间盘疾患</v>
          </cell>
          <cell r="Q4">
            <v>32.5774754346183</v>
          </cell>
        </row>
        <row r="5">
          <cell r="B5" t="str">
            <v>M80</v>
          </cell>
          <cell r="C5" t="str">
            <v>骨质疏松伴有病理性骨折</v>
          </cell>
          <cell r="E5">
            <v>13.2234076947947</v>
          </cell>
          <cell r="H5" t="str">
            <v>M80</v>
          </cell>
          <cell r="I5" t="str">
            <v>骨质疏松伴有病理性骨折</v>
          </cell>
          <cell r="K5">
            <v>11.4890662964249</v>
          </cell>
          <cell r="N5" t="str">
            <v>M80</v>
          </cell>
          <cell r="O5" t="str">
            <v>骨质疏松伴有病理性骨折</v>
          </cell>
          <cell r="Q5">
            <v>12.773998488284199</v>
          </cell>
        </row>
        <row r="6">
          <cell r="B6" t="str">
            <v>M47.-</v>
          </cell>
          <cell r="C6" t="str">
            <v>脊椎关节强硬</v>
          </cell>
          <cell r="E6">
            <v>9.8609763983187797</v>
          </cell>
          <cell r="H6" t="str">
            <v>M43.0</v>
          </cell>
          <cell r="I6" t="str">
            <v>脊椎滑脱</v>
          </cell>
          <cell r="K6">
            <v>9.4064560916348494</v>
          </cell>
          <cell r="N6" t="str">
            <v>S32.0</v>
          </cell>
          <cell r="O6" t="str">
            <v>腰椎骨折</v>
          </cell>
          <cell r="Q6">
            <v>7.2562358276644003</v>
          </cell>
        </row>
        <row r="7">
          <cell r="B7" t="str">
            <v>S32.0</v>
          </cell>
          <cell r="C7" t="str">
            <v>腰椎骨折</v>
          </cell>
          <cell r="E7">
            <v>4.1383769802780499</v>
          </cell>
          <cell r="H7" t="str">
            <v>M47.-</v>
          </cell>
          <cell r="I7" t="str">
            <v>脊椎关节强硬</v>
          </cell>
          <cell r="K7">
            <v>7.9486289482818497</v>
          </cell>
          <cell r="N7" t="str">
            <v>M47.-</v>
          </cell>
          <cell r="O7" t="str">
            <v>脊椎关节强硬</v>
          </cell>
          <cell r="Q7">
            <v>6.9538926681783799</v>
          </cell>
        </row>
        <row r="8">
          <cell r="B8" t="str">
            <v>M43.0</v>
          </cell>
          <cell r="C8" t="str">
            <v>脊椎滑脱</v>
          </cell>
          <cell r="E8">
            <v>3.6534109279017102</v>
          </cell>
          <cell r="H8" t="str">
            <v>S32.0</v>
          </cell>
          <cell r="I8" t="str">
            <v>腰椎骨折</v>
          </cell>
          <cell r="K8">
            <v>4.4429017702186702</v>
          </cell>
          <cell r="N8" t="str">
            <v>M43.0</v>
          </cell>
          <cell r="O8" t="str">
            <v>脊椎滑脱</v>
          </cell>
          <cell r="Q8">
            <v>6.8405139833711299</v>
          </cell>
        </row>
      </sheetData>
      <sheetData sheetId="5">
        <row r="4">
          <cell r="B4" t="str">
            <v>Z47</v>
          </cell>
          <cell r="C4" t="str">
            <v>取除骨折或关节内外固定</v>
          </cell>
          <cell r="E4">
            <v>13.679718875501999</v>
          </cell>
          <cell r="H4" t="str">
            <v>Z47</v>
          </cell>
          <cell r="I4" t="str">
            <v>取除骨折或关节内外固定</v>
          </cell>
          <cell r="K4">
            <v>14.5107152078492</v>
          </cell>
          <cell r="N4" t="str">
            <v>Z47</v>
          </cell>
          <cell r="O4" t="str">
            <v>取除骨折或关节内外固定</v>
          </cell>
          <cell r="Q4">
            <v>16.091954022988499</v>
          </cell>
        </row>
        <row r="5">
          <cell r="B5" t="str">
            <v>S82</v>
          </cell>
          <cell r="C5" t="str">
            <v>小腿骨骨折</v>
          </cell>
          <cell r="E5">
            <v>9.3624497991967903</v>
          </cell>
          <cell r="H5" t="str">
            <v>S82</v>
          </cell>
          <cell r="I5" t="str">
            <v>小腿骨骨折</v>
          </cell>
          <cell r="K5">
            <v>8.2106893880712608</v>
          </cell>
          <cell r="N5" t="str">
            <v>S82</v>
          </cell>
          <cell r="O5" t="str">
            <v>小腿骨骨折</v>
          </cell>
          <cell r="Q5">
            <v>8.6079182630906796</v>
          </cell>
        </row>
        <row r="6">
          <cell r="B6" t="str">
            <v>S72</v>
          </cell>
          <cell r="C6" t="str">
            <v>股骨骨折</v>
          </cell>
          <cell r="E6">
            <v>8.6094377510040196</v>
          </cell>
          <cell r="H6" t="str">
            <v>S72</v>
          </cell>
          <cell r="I6" t="str">
            <v>股骨骨折</v>
          </cell>
          <cell r="K6">
            <v>8.1074102762716205</v>
          </cell>
          <cell r="N6" t="str">
            <v>S72</v>
          </cell>
          <cell r="O6" t="str">
            <v>股骨骨折</v>
          </cell>
          <cell r="Q6">
            <v>6.9220945083013996</v>
          </cell>
        </row>
        <row r="7">
          <cell r="B7" t="str">
            <v>S42.2-4</v>
          </cell>
          <cell r="C7" t="str">
            <v>肱骨骨折</v>
          </cell>
          <cell r="E7">
            <v>4.9698795180722897</v>
          </cell>
          <cell r="H7" t="str">
            <v>S42.2-4</v>
          </cell>
          <cell r="I7" t="str">
            <v>肱骨骨折</v>
          </cell>
          <cell r="K7">
            <v>5.3188742576813803</v>
          </cell>
          <cell r="N7" t="str">
            <v>S52</v>
          </cell>
          <cell r="O7" t="str">
            <v>前臂骨折</v>
          </cell>
          <cell r="Q7">
            <v>5.7471264367816097</v>
          </cell>
        </row>
        <row r="8">
          <cell r="B8" t="str">
            <v>S52</v>
          </cell>
          <cell r="C8" t="str">
            <v>尺桡骨骨折</v>
          </cell>
          <cell r="E8">
            <v>4.5933734939758999</v>
          </cell>
          <cell r="H8" t="str">
            <v>S52</v>
          </cell>
          <cell r="I8" t="str">
            <v>尺桡骨骨折</v>
          </cell>
          <cell r="K8">
            <v>5.1639555899819296</v>
          </cell>
          <cell r="N8" t="str">
            <v>S42.2-4 肱骨骨折</v>
          </cell>
          <cell r="O8" t="str">
            <v>肩和上臂骨折</v>
          </cell>
          <cell r="Q8">
            <v>4.8786717752235003</v>
          </cell>
        </row>
      </sheetData>
      <sheetData sheetId="6">
        <row r="4">
          <cell r="B4" t="str">
            <v>M17</v>
          </cell>
          <cell r="C4" t="str">
            <v>膝关节病</v>
          </cell>
          <cell r="E4">
            <v>13.8307984790875</v>
          </cell>
          <cell r="H4" t="str">
            <v>M17</v>
          </cell>
          <cell r="I4" t="str">
            <v>膝关节病</v>
          </cell>
          <cell r="K4">
            <v>15.6674208144796</v>
          </cell>
          <cell r="N4" t="str">
            <v>M17</v>
          </cell>
          <cell r="O4" t="str">
            <v>膝关节病</v>
          </cell>
          <cell r="Q4">
            <v>13.3107454017425</v>
          </cell>
        </row>
        <row r="5">
          <cell r="B5" t="str">
            <v>M87.8</v>
          </cell>
          <cell r="C5" t="str">
            <v>股骨头坏死</v>
          </cell>
          <cell r="E5">
            <v>11.692015209125501</v>
          </cell>
          <cell r="H5" t="str">
            <v>M87.8</v>
          </cell>
          <cell r="I5" t="str">
            <v>股骨头坏死</v>
          </cell>
          <cell r="K5">
            <v>11.1990950226244</v>
          </cell>
          <cell r="N5" t="str">
            <v>S72</v>
          </cell>
          <cell r="O5" t="str">
            <v>股骨骨折</v>
          </cell>
          <cell r="Q5">
            <v>9.9709583736689194</v>
          </cell>
        </row>
        <row r="6">
          <cell r="B6" t="str">
            <v>S72</v>
          </cell>
          <cell r="C6" t="str">
            <v>股骨骨折</v>
          </cell>
          <cell r="E6">
            <v>8.8878326996197696</v>
          </cell>
          <cell r="H6" t="str">
            <v>S72</v>
          </cell>
          <cell r="I6" t="str">
            <v>股骨骨折</v>
          </cell>
          <cell r="K6">
            <v>10.124434389140299</v>
          </cell>
          <cell r="N6" t="str">
            <v>S83</v>
          </cell>
          <cell r="O6" t="str">
            <v>膝关节脱位和韧带损伤</v>
          </cell>
          <cell r="Q6">
            <v>7.2604065827686304</v>
          </cell>
        </row>
        <row r="7">
          <cell r="B7" t="str">
            <v>S83</v>
          </cell>
          <cell r="C7" t="str">
            <v>膝关节脱位和韧带损伤</v>
          </cell>
          <cell r="E7">
            <v>6.6539923954372604</v>
          </cell>
          <cell r="H7" t="str">
            <v>S83</v>
          </cell>
          <cell r="I7" t="str">
            <v>膝关节脱位和韧带损伤</v>
          </cell>
          <cell r="K7">
            <v>6.7307692307692299</v>
          </cell>
          <cell r="N7" t="str">
            <v>M87-</v>
          </cell>
          <cell r="O7" t="str">
            <v>股骨头坏死</v>
          </cell>
          <cell r="Q7">
            <v>7.11519845111326</v>
          </cell>
        </row>
        <row r="8">
          <cell r="B8" t="str">
            <v>Z47.0</v>
          </cell>
          <cell r="C8" t="str">
            <v>取除骨折内固定装置</v>
          </cell>
          <cell r="E8">
            <v>6.13117870722433</v>
          </cell>
          <cell r="H8" t="str">
            <v>Z47.0</v>
          </cell>
          <cell r="I8" t="str">
            <v>取除骨折内固定装置</v>
          </cell>
          <cell r="K8">
            <v>4.5814479638009002</v>
          </cell>
          <cell r="N8" t="str">
            <v>Z47.0</v>
          </cell>
          <cell r="O8" t="str">
            <v>取除骨折内固定装置</v>
          </cell>
          <cell r="Q8">
            <v>5.9051306873184899</v>
          </cell>
        </row>
      </sheetData>
      <sheetData sheetId="7">
        <row r="4">
          <cell r="B4" t="str">
            <v>D25.-</v>
          </cell>
          <cell r="C4" t="str">
            <v>子宫平滑肌瘤</v>
          </cell>
          <cell r="E4">
            <v>16.272727272727298</v>
          </cell>
          <cell r="H4" t="str">
            <v>D25.</v>
          </cell>
          <cell r="I4" t="str">
            <v>子宫平滑肌瘤</v>
          </cell>
          <cell r="K4">
            <v>18.420221169036299</v>
          </cell>
          <cell r="N4" t="str">
            <v>D25.-</v>
          </cell>
          <cell r="O4" t="str">
            <v>子宫平滑肌瘤</v>
          </cell>
          <cell r="Q4">
            <v>19.0074602659747</v>
          </cell>
        </row>
        <row r="5">
          <cell r="B5" t="str">
            <v>Z51.1</v>
          </cell>
          <cell r="C5" t="str">
            <v>为肿瘤化学治疗疗程</v>
          </cell>
          <cell r="E5">
            <v>13.363636363636401</v>
          </cell>
          <cell r="H5" t="str">
            <v>Z51.1</v>
          </cell>
          <cell r="I5" t="str">
            <v>为肿瘤化学治疗疗程</v>
          </cell>
          <cell r="K5">
            <v>14.8499210110585</v>
          </cell>
          <cell r="N5" t="str">
            <v>Z51.1</v>
          </cell>
          <cell r="O5" t="str">
            <v>为肿瘤化学治疗疗程</v>
          </cell>
          <cell r="Q5">
            <v>15.6016866688291</v>
          </cell>
        </row>
        <row r="6">
          <cell r="B6" t="str">
            <v>O00.1</v>
          </cell>
          <cell r="C6" t="str">
            <v>输卵管妊娠</v>
          </cell>
          <cell r="E6">
            <v>7.9393939393939403</v>
          </cell>
          <cell r="H6" t="str">
            <v>O00.1</v>
          </cell>
          <cell r="I6" t="str">
            <v>输卵管妊娠</v>
          </cell>
          <cell r="K6">
            <v>6.7298578199052104</v>
          </cell>
          <cell r="N6" t="str">
            <v>D06.-</v>
          </cell>
          <cell r="O6" t="str">
            <v>宫颈原位癌</v>
          </cell>
          <cell r="Q6">
            <v>8.95231916963996</v>
          </cell>
        </row>
        <row r="7">
          <cell r="B7" t="str">
            <v>D06.-</v>
          </cell>
          <cell r="C7" t="str">
            <v>宫颈外膜原位癌</v>
          </cell>
          <cell r="E7">
            <v>8.7272727272727302</v>
          </cell>
          <cell r="H7" t="str">
            <v>D06.-</v>
          </cell>
          <cell r="I7" t="str">
            <v>宫颈外膜原位癌</v>
          </cell>
          <cell r="K7">
            <v>7.2037914691943099</v>
          </cell>
          <cell r="N7" t="str">
            <v>D27.x</v>
          </cell>
          <cell r="O7" t="str">
            <v>卵巢良性肿瘤</v>
          </cell>
          <cell r="Q7">
            <v>6.9737268893934496</v>
          </cell>
        </row>
        <row r="8">
          <cell r="B8" t="str">
            <v>N87.</v>
          </cell>
          <cell r="C8" t="str">
            <v>宫颈发育不良</v>
          </cell>
          <cell r="E8">
            <v>6.2121212121212102</v>
          </cell>
          <cell r="H8" t="str">
            <v>D27.x</v>
          </cell>
          <cell r="I8" t="str">
            <v>卵巢良性肿瘤</v>
          </cell>
          <cell r="K8">
            <v>5.4660347551342801</v>
          </cell>
          <cell r="N8" t="str">
            <v>O00.1</v>
          </cell>
          <cell r="O8" t="str">
            <v>输卵管妊娠</v>
          </cell>
          <cell r="Q8">
            <v>5.5465455724943196</v>
          </cell>
        </row>
      </sheetData>
      <sheetData sheetId="8">
        <row r="4">
          <cell r="B4" t="str">
            <v>Z51.1</v>
          </cell>
          <cell r="C4" t="str">
            <v>为肿瘤化学治疗疗程</v>
          </cell>
          <cell r="E4">
            <v>34.369709096506099</v>
          </cell>
          <cell r="H4" t="str">
            <v>Z51.1</v>
          </cell>
          <cell r="I4" t="str">
            <v>为肿瘤化学治疗疗程</v>
          </cell>
          <cell r="K4">
            <v>61.300035423308501</v>
          </cell>
          <cell r="N4" t="str">
            <v>Z51.1</v>
          </cell>
          <cell r="O4" t="str">
            <v>为肿瘤化学治疗疗程</v>
          </cell>
          <cell r="Q4">
            <v>50.931565747044097</v>
          </cell>
        </row>
        <row r="5">
          <cell r="B5" t="str">
            <v>Z51.8</v>
          </cell>
          <cell r="C5" t="str">
            <v>抗肿瘤治疗</v>
          </cell>
          <cell r="E5">
            <v>32.230260120055398</v>
          </cell>
          <cell r="H5" t="str">
            <v>Z51.8</v>
          </cell>
          <cell r="I5" t="str">
            <v>抗肿瘤治疗</v>
          </cell>
          <cell r="K5">
            <v>18.862911795961701</v>
          </cell>
          <cell r="N5" t="str">
            <v>C50</v>
          </cell>
          <cell r="O5" t="str">
            <v>乳房恶性肿瘤</v>
          </cell>
          <cell r="Q5">
            <v>10.8025797205303</v>
          </cell>
        </row>
        <row r="6">
          <cell r="B6" t="str">
            <v>C50</v>
          </cell>
          <cell r="C6" t="str">
            <v>乳房恶性肿瘤</v>
          </cell>
          <cell r="E6">
            <v>7.2648914883792504</v>
          </cell>
          <cell r="H6" t="str">
            <v>C50</v>
          </cell>
          <cell r="I6" t="str">
            <v>乳房恶性肿瘤</v>
          </cell>
          <cell r="K6">
            <v>8.7318455543747806</v>
          </cell>
          <cell r="N6" t="str">
            <v>N60.2</v>
          </cell>
          <cell r="O6" t="str">
            <v>乳房纤维囊性乳腺病</v>
          </cell>
          <cell r="Q6">
            <v>10.4621999283411</v>
          </cell>
        </row>
        <row r="7">
          <cell r="B7" t="str">
            <v>N60.2</v>
          </cell>
          <cell r="C7" t="str">
            <v>乳房纤维囊性乳腺病</v>
          </cell>
          <cell r="E7">
            <v>6.0489456672310302</v>
          </cell>
          <cell r="H7" t="str">
            <v>N60.2</v>
          </cell>
          <cell r="I7" t="str">
            <v>乳房纤维囊性乳腺病</v>
          </cell>
          <cell r="K7">
            <v>8.4661707403471507</v>
          </cell>
          <cell r="N7" t="str">
            <v>Z51.8</v>
          </cell>
          <cell r="O7" t="str">
            <v>抗肿瘤治疗</v>
          </cell>
          <cell r="Q7">
            <v>7.7570763167323502</v>
          </cell>
        </row>
        <row r="8">
          <cell r="B8" t="str">
            <v>D24</v>
          </cell>
          <cell r="C8" t="str">
            <v>乳房良性肿瘤</v>
          </cell>
          <cell r="E8">
            <v>5.3255348622441101</v>
          </cell>
          <cell r="H8" t="str">
            <v>D24</v>
          </cell>
          <cell r="I8" t="str">
            <v>乳房良性肿瘤</v>
          </cell>
          <cell r="K8">
            <v>5.9156925256818997</v>
          </cell>
          <cell r="N8" t="str">
            <v>D24</v>
          </cell>
          <cell r="O8" t="str">
            <v>乳房良性肿瘤</v>
          </cell>
          <cell r="Q8">
            <v>6.6821927624507396</v>
          </cell>
        </row>
      </sheetData>
      <sheetData sheetId="9">
        <row r="4">
          <cell r="B4" t="str">
            <v>Z51.1</v>
          </cell>
          <cell r="C4" t="str">
            <v>为肿瘤化学治疗疗程</v>
          </cell>
          <cell r="E4">
            <v>43.9260411266632</v>
          </cell>
          <cell r="H4" t="str">
            <v>Z51.1</v>
          </cell>
          <cell r="I4" t="str">
            <v>为肿瘤化学治疗疗程</v>
          </cell>
          <cell r="K4">
            <v>42.791842475386801</v>
          </cell>
          <cell r="N4" t="str">
            <v>Z51.1</v>
          </cell>
          <cell r="O4" t="str">
            <v>为肿瘤化学治疗疗程</v>
          </cell>
          <cell r="Q4">
            <v>36.621021465581101</v>
          </cell>
        </row>
        <row r="5">
          <cell r="B5" t="str">
            <v>K35</v>
          </cell>
          <cell r="C5" t="str">
            <v>急性阑尾炎</v>
          </cell>
          <cell r="E5">
            <v>7.2576464489372698</v>
          </cell>
          <cell r="H5" t="str">
            <v>K35</v>
          </cell>
          <cell r="I5" t="str">
            <v>急性阑尾炎</v>
          </cell>
          <cell r="K5">
            <v>7.45428973277075</v>
          </cell>
          <cell r="N5" t="str">
            <v>K35</v>
          </cell>
          <cell r="O5" t="str">
            <v>急性阑尾炎</v>
          </cell>
          <cell r="Q5">
            <v>7.1243523316062198</v>
          </cell>
        </row>
        <row r="6">
          <cell r="B6" t="str">
            <v>K40.9</v>
          </cell>
          <cell r="C6" t="str">
            <v>单侧或未特指腹股沟疝，不伴有梗阻或坏疽</v>
          </cell>
          <cell r="E6">
            <v>5.7542768273717</v>
          </cell>
          <cell r="H6" t="str">
            <v>K56</v>
          </cell>
          <cell r="I6" t="str">
            <v>肠梗阻</v>
          </cell>
          <cell r="K6">
            <v>5.2390998593530202</v>
          </cell>
          <cell r="N6" t="str">
            <v>K40.9</v>
          </cell>
          <cell r="O6" t="str">
            <v>单侧或未特指腹股沟疝，不伴有梗阻或坏疽</v>
          </cell>
          <cell r="Q6">
            <v>5.3478904515173902</v>
          </cell>
        </row>
        <row r="7">
          <cell r="B7" t="str">
            <v>K56</v>
          </cell>
          <cell r="C7" t="str">
            <v>肠梗阻</v>
          </cell>
          <cell r="E7">
            <v>4.3718679799550699</v>
          </cell>
          <cell r="H7" t="str">
            <v>K40.9</v>
          </cell>
          <cell r="I7" t="str">
            <v>单侧或未特指腹股沟疝，不伴有梗阻或坏疽</v>
          </cell>
          <cell r="K7">
            <v>4.8874824191279904</v>
          </cell>
          <cell r="N7" t="str">
            <v>C18</v>
          </cell>
          <cell r="O7" t="str">
            <v>结肠恶性肿瘤</v>
          </cell>
          <cell r="Q7">
            <v>5.1628423390081402</v>
          </cell>
        </row>
        <row r="8">
          <cell r="B8" t="str">
            <v>C18</v>
          </cell>
          <cell r="C8" t="str">
            <v>结肠恶性肿瘤</v>
          </cell>
          <cell r="E8">
            <v>4.3545878693623603</v>
          </cell>
          <cell r="H8" t="str">
            <v>C18</v>
          </cell>
          <cell r="I8" t="str">
            <v>结肠恶性肿瘤</v>
          </cell>
          <cell r="K8">
            <v>4.4655414908579498</v>
          </cell>
          <cell r="N8" t="str">
            <v>K56</v>
          </cell>
          <cell r="O8" t="str">
            <v>肠梗阻</v>
          </cell>
          <cell r="Q8">
            <v>4.4966691339748301</v>
          </cell>
        </row>
      </sheetData>
      <sheetData sheetId="10">
        <row r="4">
          <cell r="B4" t="str">
            <v>Z51.1</v>
          </cell>
          <cell r="C4" t="str">
            <v>为肿瘤化学治疗疗程</v>
          </cell>
          <cell r="E4">
            <v>28.586897671900399</v>
          </cell>
          <cell r="H4" t="str">
            <v>Z51.1</v>
          </cell>
          <cell r="I4" t="str">
            <v>为肿瘤化学治疗疗程</v>
          </cell>
          <cell r="K4">
            <v>30.135501355013499</v>
          </cell>
          <cell r="N4" t="str">
            <v>Z51.1</v>
          </cell>
          <cell r="O4" t="str">
            <v>为肿瘤化学治疗疗程</v>
          </cell>
          <cell r="Q4">
            <v>27.774566473988401</v>
          </cell>
        </row>
        <row r="5">
          <cell r="B5" t="str">
            <v>Z51.8</v>
          </cell>
          <cell r="C5" t="str">
            <v>抗肿瘤治疗</v>
          </cell>
          <cell r="E5">
            <v>22.008662696264199</v>
          </cell>
          <cell r="H5" t="str">
            <v>Z51.8</v>
          </cell>
          <cell r="I5" t="str">
            <v>抗肿瘤治疗</v>
          </cell>
          <cell r="K5">
            <v>20.4065040650407</v>
          </cell>
          <cell r="N5" t="str">
            <v>C34</v>
          </cell>
          <cell r="O5" t="str">
            <v>肺恶性肿瘤</v>
          </cell>
          <cell r="Q5">
            <v>18.236994219653202</v>
          </cell>
        </row>
        <row r="6">
          <cell r="B6" t="str">
            <v>C34</v>
          </cell>
          <cell r="C6" t="str">
            <v>肺恶性肿瘤</v>
          </cell>
          <cell r="E6">
            <v>14.266377910124501</v>
          </cell>
          <cell r="H6" t="str">
            <v>C34</v>
          </cell>
          <cell r="I6" t="str">
            <v>肺恶性肿瘤</v>
          </cell>
          <cell r="K6">
            <v>14.8780487804878</v>
          </cell>
          <cell r="N6" t="str">
            <v>Z51.8</v>
          </cell>
          <cell r="O6" t="str">
            <v>抗肿瘤治疗</v>
          </cell>
          <cell r="Q6">
            <v>12.774566473988401</v>
          </cell>
        </row>
        <row r="7">
          <cell r="B7" t="str">
            <v>J43</v>
          </cell>
          <cell r="C7" t="str">
            <v>肺气肿</v>
          </cell>
          <cell r="E7">
            <v>3.2755820249052499</v>
          </cell>
          <cell r="H7" t="str">
            <v>C15</v>
          </cell>
          <cell r="I7" t="str">
            <v>食管恶性肿瘤</v>
          </cell>
          <cell r="K7">
            <v>3.1165311653116499</v>
          </cell>
          <cell r="N7" t="str">
            <v>J43</v>
          </cell>
          <cell r="O7" t="str">
            <v>肺气肿</v>
          </cell>
          <cell r="Q7">
            <v>3.5838150289017299</v>
          </cell>
        </row>
        <row r="8">
          <cell r="B8" t="str">
            <v>C15</v>
          </cell>
          <cell r="C8" t="str">
            <v>食管恶性肿瘤</v>
          </cell>
          <cell r="E8">
            <v>2.7612344342176498</v>
          </cell>
          <cell r="H8" t="str">
            <v>J43</v>
          </cell>
          <cell r="I8" t="str">
            <v>肺气肿</v>
          </cell>
          <cell r="K8">
            <v>3.1165311653116499</v>
          </cell>
          <cell r="N8" t="str">
            <v>J98</v>
          </cell>
          <cell r="O8" t="str">
            <v>其他呼吸性疾患</v>
          </cell>
          <cell r="Q8">
            <v>3.4393063583814998</v>
          </cell>
        </row>
      </sheetData>
      <sheetData sheetId="11">
        <row r="4">
          <cell r="B4" t="str">
            <v>S06</v>
          </cell>
          <cell r="C4" t="str">
            <v>创伤性颅内损伤</v>
          </cell>
          <cell r="E4">
            <v>22.5753604193971</v>
          </cell>
          <cell r="H4" t="str">
            <v>S06</v>
          </cell>
          <cell r="I4" t="str">
            <v>创伤性颅内损伤</v>
          </cell>
          <cell r="K4">
            <v>21.983471074380201</v>
          </cell>
          <cell r="N4" t="str">
            <v>S06</v>
          </cell>
          <cell r="O4" t="str">
            <v>创伤性颅内损伤</v>
          </cell>
          <cell r="Q4">
            <v>23.504956827630298</v>
          </cell>
        </row>
        <row r="5">
          <cell r="B5" t="str">
            <v>I61</v>
          </cell>
          <cell r="C5" t="str">
            <v>脑内出血</v>
          </cell>
          <cell r="E5">
            <v>13.6959370904325</v>
          </cell>
          <cell r="H5" t="str">
            <v>I61</v>
          </cell>
          <cell r="I5" t="str">
            <v>脑内出血</v>
          </cell>
          <cell r="K5">
            <v>14.049586776859501</v>
          </cell>
          <cell r="N5" t="str">
            <v>I61</v>
          </cell>
          <cell r="O5" t="str">
            <v>脑内出血</v>
          </cell>
          <cell r="Q5">
            <v>11.9283658458587</v>
          </cell>
        </row>
        <row r="6">
          <cell r="B6" t="str">
            <v>T63</v>
          </cell>
          <cell r="C6" t="str">
            <v>毒蛇咬伤</v>
          </cell>
          <cell r="E6">
            <v>11.1074705111402</v>
          </cell>
          <cell r="H6" t="str">
            <v>T63.0</v>
          </cell>
          <cell r="I6" t="str">
            <v>毒蛇咬伤</v>
          </cell>
          <cell r="K6">
            <v>10.247933884297501</v>
          </cell>
          <cell r="N6" t="str">
            <v>T63.0</v>
          </cell>
          <cell r="O6" t="str">
            <v>毒蛇咬伤</v>
          </cell>
          <cell r="Q6">
            <v>9.1781259993604092</v>
          </cell>
        </row>
        <row r="7">
          <cell r="B7" t="str">
            <v>I60.0-I60.7</v>
          </cell>
          <cell r="C7" t="str">
            <v>颅内动脉瘤破裂伴蛛网膜下腔出血</v>
          </cell>
          <cell r="E7">
            <v>6.6186107470511102</v>
          </cell>
          <cell r="H7" t="str">
            <v>I60.0-I60.7</v>
          </cell>
          <cell r="I7" t="str">
            <v>颅内动脉瘤破裂伴蛛网膜下腔出血</v>
          </cell>
          <cell r="K7">
            <v>7.1404958677685997</v>
          </cell>
          <cell r="N7" t="str">
            <v>D32</v>
          </cell>
          <cell r="O7" t="str">
            <v>脑脊膜良性肿瘤</v>
          </cell>
          <cell r="Q7">
            <v>3.5817077070674799</v>
          </cell>
        </row>
        <row r="8">
          <cell r="B8" t="str">
            <v>T06</v>
          </cell>
          <cell r="C8" t="str">
            <v>全身多处严重复合伤</v>
          </cell>
          <cell r="E8">
            <v>4.9148099606815201</v>
          </cell>
          <cell r="H8" t="str">
            <v>D32</v>
          </cell>
          <cell r="I8" t="str">
            <v>脑脊膜良性肿瘤</v>
          </cell>
          <cell r="K8">
            <v>3.1074380165289299</v>
          </cell>
          <cell r="N8" t="str">
            <v>I63</v>
          </cell>
          <cell r="O8" t="str">
            <v>脑梗死</v>
          </cell>
          <cell r="Q8">
            <v>3.3578509753757602</v>
          </cell>
        </row>
      </sheetData>
      <sheetData sheetId="12">
        <row r="4">
          <cell r="B4" t="str">
            <v>K80</v>
          </cell>
          <cell r="C4" t="str">
            <v>胆石症（胆囊结石、胆管结石）</v>
          </cell>
          <cell r="E4">
            <v>31.1993171148101</v>
          </cell>
          <cell r="H4" t="str">
            <v>K80</v>
          </cell>
          <cell r="I4" t="str">
            <v>胆石症（胆囊结石、胆管结石）</v>
          </cell>
          <cell r="K4">
            <v>32.796934865900397</v>
          </cell>
          <cell r="N4" t="str">
            <v>K80</v>
          </cell>
          <cell r="O4" t="str">
            <v>胆石症（胆囊结石、胆管结石）</v>
          </cell>
          <cell r="Q4">
            <v>30.404666423623802</v>
          </cell>
        </row>
        <row r="5">
          <cell r="B5" t="str">
            <v>C22</v>
          </cell>
          <cell r="C5" t="str">
            <v>肝和肝内胆管恶性肿瘤</v>
          </cell>
          <cell r="E5">
            <v>23.132735808792098</v>
          </cell>
          <cell r="H5" t="str">
            <v>C22</v>
          </cell>
          <cell r="I5" t="str">
            <v>肝和肝内胆管恶性肿瘤</v>
          </cell>
          <cell r="K5">
            <v>22.375478927203101</v>
          </cell>
          <cell r="N5" t="str">
            <v>C22</v>
          </cell>
          <cell r="O5" t="str">
            <v>肝和肝内胆管恶性肿瘤</v>
          </cell>
          <cell r="Q5">
            <v>23.076923076923102</v>
          </cell>
        </row>
        <row r="6">
          <cell r="B6" t="str">
            <v>Z51.1</v>
          </cell>
          <cell r="C6" t="str">
            <v>为肿瘤化学治疗疗程</v>
          </cell>
          <cell r="E6">
            <v>4.9509176269739603</v>
          </cell>
          <cell r="H6" t="str">
            <v>Z51.1</v>
          </cell>
          <cell r="I6" t="str">
            <v>为肿瘤化学治疗疗程</v>
          </cell>
          <cell r="K6">
            <v>6.2452107279693498</v>
          </cell>
          <cell r="N6" t="str">
            <v>Z51.1</v>
          </cell>
          <cell r="O6" t="str">
            <v>为肿瘤化学治疗疗程</v>
          </cell>
          <cell r="Q6">
            <v>8.6766314254465904</v>
          </cell>
        </row>
        <row r="7">
          <cell r="B7" t="str">
            <v>K85</v>
          </cell>
          <cell r="C7" t="str">
            <v>急性胰腺炎</v>
          </cell>
          <cell r="E7">
            <v>3.9692701664532599</v>
          </cell>
          <cell r="H7" t="str">
            <v>K83</v>
          </cell>
          <cell r="I7" t="str">
            <v>胆道疾病</v>
          </cell>
          <cell r="K7">
            <v>2.45210727969349</v>
          </cell>
          <cell r="N7" t="str">
            <v>K85</v>
          </cell>
          <cell r="O7" t="str">
            <v>急性胰腺炎</v>
          </cell>
          <cell r="Q7">
            <v>3.5727305869485999</v>
          </cell>
        </row>
        <row r="8">
          <cell r="B8" t="str">
            <v>K75.0</v>
          </cell>
          <cell r="C8" t="str">
            <v>肝脓肿</v>
          </cell>
          <cell r="E8">
            <v>1.92061459667093</v>
          </cell>
          <cell r="H8" t="str">
            <v>C25</v>
          </cell>
          <cell r="I8" t="str">
            <v>胰恶性肿瘤</v>
          </cell>
          <cell r="K8">
            <v>2.29885057471264</v>
          </cell>
          <cell r="N8" t="str">
            <v>C25</v>
          </cell>
          <cell r="O8" t="str">
            <v>胰恶性肿瘤</v>
          </cell>
          <cell r="Q8">
            <v>2.7342325920524999</v>
          </cell>
        </row>
      </sheetData>
      <sheetData sheetId="13">
        <row r="4">
          <cell r="B4" t="str">
            <v>N13.2/N13.6</v>
          </cell>
          <cell r="C4" t="str">
            <v>肾结石伴有积水和感染</v>
          </cell>
          <cell r="E4">
            <v>32.124523927802599</v>
          </cell>
          <cell r="H4" t="str">
            <v>N13.2/N13.6</v>
          </cell>
          <cell r="I4" t="str">
            <v>肾结石伴有积水和感染</v>
          </cell>
          <cell r="K4">
            <v>25.6528986849417</v>
          </cell>
          <cell r="N4" t="str">
            <v>N13.2/N13.6</v>
          </cell>
          <cell r="O4" t="str">
            <v>肾结石伴有积水和感染</v>
          </cell>
          <cell r="Q4">
            <v>22.623325710552098</v>
          </cell>
        </row>
        <row r="5">
          <cell r="B5" t="str">
            <v>Z51.8</v>
          </cell>
          <cell r="C5" t="str">
            <v>前列腺癌内分泌治疗</v>
          </cell>
          <cell r="E5">
            <v>9.0743500579566092</v>
          </cell>
          <cell r="H5" t="str">
            <v>N40.x</v>
          </cell>
          <cell r="I5" t="str">
            <v>前列腺增生</v>
          </cell>
          <cell r="K5">
            <v>8.0570476014076693</v>
          </cell>
          <cell r="N5" t="str">
            <v>N40.x</v>
          </cell>
          <cell r="O5" t="str">
            <v>前列腺增生</v>
          </cell>
          <cell r="Q5">
            <v>8.8696504410323396</v>
          </cell>
        </row>
        <row r="6">
          <cell r="B6" t="str">
            <v>N40.x</v>
          </cell>
          <cell r="C6" t="str">
            <v>前列腺增生</v>
          </cell>
          <cell r="E6">
            <v>8.3623116410001597</v>
          </cell>
          <cell r="H6" t="str">
            <v>Z51.8</v>
          </cell>
          <cell r="I6" t="str">
            <v>前列腺癌内分泌治疗</v>
          </cell>
          <cell r="K6">
            <v>4.0748286719762898</v>
          </cell>
          <cell r="N6" t="str">
            <v>C61.x</v>
          </cell>
          <cell r="O6" t="str">
            <v>前列腺恶性肿瘤</v>
          </cell>
          <cell r="Q6">
            <v>3.5772623325710602</v>
          </cell>
        </row>
        <row r="7">
          <cell r="B7" t="str">
            <v>N21.0</v>
          </cell>
          <cell r="C7" t="str">
            <v>膀胱结石</v>
          </cell>
          <cell r="E7">
            <v>2.9971849643980799</v>
          </cell>
          <cell r="H7" t="str">
            <v>C61.x</v>
          </cell>
          <cell r="I7" t="str">
            <v>前列腺恶性肿瘤</v>
          </cell>
          <cell r="K7">
            <v>3.0005556584552702</v>
          </cell>
          <cell r="N7" t="str">
            <v>N21.0</v>
          </cell>
          <cell r="O7" t="str">
            <v>膀胱结石</v>
          </cell>
          <cell r="Q7">
            <v>3.1198954590003298</v>
          </cell>
        </row>
        <row r="8">
          <cell r="B8" t="str">
            <v>C61.x</v>
          </cell>
          <cell r="C8" t="str">
            <v>前列腺恶性肿瘤</v>
          </cell>
          <cell r="E8">
            <v>2.40105977810896</v>
          </cell>
          <cell r="H8" t="str">
            <v>N21.0</v>
          </cell>
          <cell r="I8" t="str">
            <v>膀胱结石</v>
          </cell>
          <cell r="K8">
            <v>2.7782922763474698</v>
          </cell>
          <cell r="N8" t="str">
            <v>N20.0</v>
          </cell>
          <cell r="O8" t="str">
            <v>肾结石</v>
          </cell>
          <cell r="Q8">
            <v>1.8621365566808199</v>
          </cell>
        </row>
      </sheetData>
      <sheetData sheetId="14"/>
      <sheetData sheetId="15">
        <row r="4">
          <cell r="B4" t="str">
            <v>J44</v>
          </cell>
          <cell r="C4" t="str">
            <v>慢性阻塞性肺病</v>
          </cell>
          <cell r="E4">
            <v>32.530120481927703</v>
          </cell>
          <cell r="H4" t="str">
            <v>J13-J18</v>
          </cell>
          <cell r="I4" t="str">
            <v>细菌性肺炎</v>
          </cell>
          <cell r="K4">
            <v>27.496411728521601</v>
          </cell>
          <cell r="N4" t="str">
            <v>J44</v>
          </cell>
          <cell r="O4" t="str">
            <v>慢性阻塞性肺病</v>
          </cell>
          <cell r="Q4">
            <v>25.6619144602851</v>
          </cell>
        </row>
        <row r="5">
          <cell r="B5" t="str">
            <v>J13-J18</v>
          </cell>
          <cell r="C5" t="str">
            <v>细菌性肺炎</v>
          </cell>
          <cell r="E5">
            <v>27.849101323326099</v>
          </cell>
          <cell r="H5" t="str">
            <v>J44</v>
          </cell>
          <cell r="I5" t="str">
            <v>慢性阻塞性肺病</v>
          </cell>
          <cell r="K5">
            <v>26.204633996309202</v>
          </cell>
          <cell r="N5" t="str">
            <v>J13-J18</v>
          </cell>
          <cell r="O5" t="str">
            <v>细菌性肺炎</v>
          </cell>
          <cell r="Q5">
            <v>24.480651731160901</v>
          </cell>
        </row>
        <row r="6">
          <cell r="B6" t="str">
            <v>J47.x</v>
          </cell>
          <cell r="C6" t="str">
            <v>支气管扩张(症)</v>
          </cell>
          <cell r="E6">
            <v>6.3401145565870003</v>
          </cell>
          <cell r="H6" t="str">
            <v>C34</v>
          </cell>
          <cell r="I6" t="str">
            <v>肺恶性肿瘤</v>
          </cell>
          <cell r="K6">
            <v>6.6639327455402899</v>
          </cell>
          <cell r="N6" t="str">
            <v>C34</v>
          </cell>
          <cell r="O6" t="str">
            <v>肺恶性肿瘤</v>
          </cell>
          <cell r="Q6">
            <v>7.7596741344195497</v>
          </cell>
        </row>
        <row r="7">
          <cell r="B7" t="str">
            <v>C34</v>
          </cell>
          <cell r="C7" t="str">
            <v>肺恶性肿瘤</v>
          </cell>
          <cell r="E7">
            <v>5.6883270788070304</v>
          </cell>
          <cell r="H7" t="str">
            <v>J47.x</v>
          </cell>
          <cell r="I7" t="str">
            <v>支气管扩张(症)</v>
          </cell>
          <cell r="K7">
            <v>6.1308181258970702</v>
          </cell>
          <cell r="N7" t="str">
            <v>Z51.1</v>
          </cell>
          <cell r="O7" t="str">
            <v>为肿瘤化学治疗疗程</v>
          </cell>
          <cell r="Q7">
            <v>7.1079429735234196</v>
          </cell>
        </row>
        <row r="8">
          <cell r="B8" t="str">
            <v>Z51.1</v>
          </cell>
          <cell r="C8" t="str">
            <v>为肿瘤化学治疗疗程</v>
          </cell>
          <cell r="E8">
            <v>3.89097373098953</v>
          </cell>
          <cell r="H8" t="str">
            <v>Z51.1</v>
          </cell>
          <cell r="I8" t="str">
            <v>为肿瘤化学治疗疗程</v>
          </cell>
          <cell r="K8">
            <v>5.7617387738363703</v>
          </cell>
          <cell r="N8" t="str">
            <v>J47.x</v>
          </cell>
          <cell r="O8" t="str">
            <v>支气管扩张(症)</v>
          </cell>
          <cell r="Q8">
            <v>6.5987780040733197</v>
          </cell>
        </row>
      </sheetData>
      <sheetData sheetId="16">
        <row r="4">
          <cell r="B4" t="str">
            <v>K70.2-K70.3/K74</v>
          </cell>
          <cell r="C4" t="str">
            <v>肝硬化</v>
          </cell>
          <cell r="E4">
            <v>13.8420188143945</v>
          </cell>
          <cell r="H4" t="str">
            <v>K70.2-K70.3/K74</v>
          </cell>
          <cell r="I4" t="str">
            <v>肝硬化</v>
          </cell>
          <cell r="K4">
            <v>15.1537772469394</v>
          </cell>
          <cell r="N4" t="str">
            <v>K70.2-K70.3/K74</v>
          </cell>
          <cell r="O4" t="str">
            <v>肝硬化</v>
          </cell>
          <cell r="Q4">
            <v>15.796591831214499</v>
          </cell>
        </row>
        <row r="5">
          <cell r="B5" t="str">
            <v>D12.0-D12.7</v>
          </cell>
          <cell r="C5" t="str">
            <v>结肠良性肿瘤</v>
          </cell>
          <cell r="E5">
            <v>9.3026728385844404</v>
          </cell>
          <cell r="H5" t="str">
            <v>D12.0-D12.7</v>
          </cell>
          <cell r="I5" t="str">
            <v>结肠良性肿瘤</v>
          </cell>
          <cell r="K5">
            <v>10.465810689758101</v>
          </cell>
          <cell r="N5" t="str">
            <v>D12.0-D12.7</v>
          </cell>
          <cell r="O5" t="str">
            <v>结肠良性肿瘤</v>
          </cell>
          <cell r="Q5">
            <v>13.7273464971599</v>
          </cell>
        </row>
        <row r="6">
          <cell r="B6" t="str">
            <v>K29.0-K29.7</v>
          </cell>
          <cell r="C6" t="str">
            <v>胃炎</v>
          </cell>
          <cell r="E6">
            <v>6.0773480662983399</v>
          </cell>
          <cell r="H6" t="str">
            <v>K26</v>
          </cell>
          <cell r="I6" t="str">
            <v>十二指肠溃疡及并发症</v>
          </cell>
          <cell r="K6">
            <v>5.0313526425798702</v>
          </cell>
          <cell r="N6" t="str">
            <v>K31.7</v>
          </cell>
          <cell r="O6" t="str">
            <v>胃和十二指肠息肉</v>
          </cell>
          <cell r="Q6">
            <v>6.6946172572356</v>
          </cell>
        </row>
        <row r="7">
          <cell r="B7" t="str">
            <v>K31.7</v>
          </cell>
          <cell r="C7" t="str">
            <v>胃和十二指肠息肉</v>
          </cell>
          <cell r="E7">
            <v>5.9280274749887996</v>
          </cell>
          <cell r="H7" t="str">
            <v>K31.7</v>
          </cell>
          <cell r="I7" t="str">
            <v>胃和十二指肠息肉</v>
          </cell>
          <cell r="K7">
            <v>4.6431770677814299</v>
          </cell>
          <cell r="N7" t="str">
            <v>K26</v>
          </cell>
          <cell r="O7" t="str">
            <v>十二指肠溃疡及并发症</v>
          </cell>
          <cell r="Q7">
            <v>4.6659453611036001</v>
          </cell>
        </row>
        <row r="8">
          <cell r="B8" t="str">
            <v>K26</v>
          </cell>
          <cell r="C8" t="str">
            <v>十二指肠溃疡及并发症</v>
          </cell>
          <cell r="E8">
            <v>4.8230550992981902</v>
          </cell>
          <cell r="H8" t="str">
            <v>K63.5</v>
          </cell>
          <cell r="I8" t="str">
            <v>结肠息肉</v>
          </cell>
          <cell r="K8">
            <v>3.5682293221857302</v>
          </cell>
          <cell r="N8" t="str">
            <v>K63.5</v>
          </cell>
          <cell r="O8" t="str">
            <v>结肠息肉</v>
          </cell>
          <cell r="Q8">
            <v>4.5847984852583199</v>
          </cell>
        </row>
      </sheetData>
      <sheetData sheetId="17">
        <row r="4">
          <cell r="B4" t="str">
            <v>G81</v>
          </cell>
          <cell r="C4" t="str">
            <v>偏瘫</v>
          </cell>
          <cell r="E4">
            <v>21.777532431686399</v>
          </cell>
          <cell r="H4" t="str">
            <v>G81</v>
          </cell>
          <cell r="I4" t="str">
            <v>偏瘫</v>
          </cell>
          <cell r="K4">
            <v>21.585663860982901</v>
          </cell>
          <cell r="N4" t="str">
            <v>G81</v>
          </cell>
          <cell r="O4" t="str">
            <v>偏瘫</v>
          </cell>
          <cell r="Q4">
            <v>21.8773656320969</v>
          </cell>
        </row>
        <row r="5">
          <cell r="B5" t="str">
            <v>M47.8</v>
          </cell>
          <cell r="C5" t="str">
            <v>混合型颈椎病</v>
          </cell>
          <cell r="E5">
            <v>5.9067071487717397</v>
          </cell>
          <cell r="H5" t="str">
            <v>M51</v>
          </cell>
          <cell r="I5" t="str">
            <v>腰椎间盘突出</v>
          </cell>
          <cell r="K5">
            <v>8.3084442030953003</v>
          </cell>
          <cell r="N5" t="str">
            <v>M51</v>
          </cell>
          <cell r="O5" t="str">
            <v>腰椎间盘突出</v>
          </cell>
          <cell r="Q5">
            <v>9.3363613424173604</v>
          </cell>
        </row>
        <row r="6">
          <cell r="B6" t="str">
            <v>M51</v>
          </cell>
          <cell r="C6" t="str">
            <v>腰椎间盘突出</v>
          </cell>
          <cell r="E6">
            <v>8.1148219707424794</v>
          </cell>
          <cell r="H6" t="str">
            <v>M25.6</v>
          </cell>
          <cell r="I6" t="str">
            <v>肢体关节僵硬</v>
          </cell>
          <cell r="K6">
            <v>7.0323106163453701</v>
          </cell>
          <cell r="N6" t="str">
            <v>G82</v>
          </cell>
          <cell r="O6" t="str">
            <v>截瘫和四肢瘫</v>
          </cell>
          <cell r="Q6">
            <v>9.0840272520817607</v>
          </cell>
        </row>
        <row r="7">
          <cell r="B7" t="str">
            <v>M25.6</v>
          </cell>
          <cell r="C7" t="str">
            <v>肢体关节僵硬</v>
          </cell>
          <cell r="E7">
            <v>6.04471432514491</v>
          </cell>
          <cell r="H7" t="str">
            <v>G82</v>
          </cell>
          <cell r="I7" t="str">
            <v>截瘫和四肢瘫</v>
          </cell>
          <cell r="K7">
            <v>7.9826228617974504</v>
          </cell>
          <cell r="N7" t="str">
            <v>M25.6</v>
          </cell>
          <cell r="O7" t="str">
            <v>肢体关节僵硬</v>
          </cell>
          <cell r="Q7">
            <v>5.3747161241483701</v>
          </cell>
        </row>
        <row r="8">
          <cell r="B8" t="str">
            <v>G82</v>
          </cell>
          <cell r="C8" t="str">
            <v>截瘫和四肢瘫</v>
          </cell>
          <cell r="E8">
            <v>5.9895114545956396</v>
          </cell>
          <cell r="H8" t="str">
            <v>M47.8</v>
          </cell>
          <cell r="I8" t="str">
            <v>混合型颈椎病</v>
          </cell>
          <cell r="K8">
            <v>3.52973119739343</v>
          </cell>
          <cell r="N8" t="str">
            <v>M50</v>
          </cell>
          <cell r="O8" t="str">
            <v>颈椎间盘突出</v>
          </cell>
          <cell r="Q8">
            <v>4.3906131718395196</v>
          </cell>
        </row>
      </sheetData>
      <sheetData sheetId="18">
        <row r="4">
          <cell r="B4" t="str">
            <v>Z51.1</v>
          </cell>
          <cell r="C4" t="str">
            <v>为肿瘤化学治疗疗程</v>
          </cell>
          <cell r="E4">
            <v>56.332010985657597</v>
          </cell>
          <cell r="H4" t="str">
            <v>Z51.1</v>
          </cell>
          <cell r="I4" t="str">
            <v>为肿瘤化学治疗疗程</v>
          </cell>
          <cell r="K4">
            <v>47.955280964989697</v>
          </cell>
          <cell r="N4" t="str">
            <v>Z51.1</v>
          </cell>
          <cell r="O4" t="str">
            <v>为肿瘤化学治疗疗程</v>
          </cell>
          <cell r="Q4">
            <v>56.018774157923801</v>
          </cell>
        </row>
        <row r="5">
          <cell r="B5" t="str">
            <v>Z51.8</v>
          </cell>
          <cell r="C5" t="str">
            <v>恶性肿瘤靶向治疗、对症治疗</v>
          </cell>
          <cell r="E5">
            <v>8.3918217882209305</v>
          </cell>
          <cell r="H5" t="str">
            <v>Z51.8</v>
          </cell>
          <cell r="I5" t="str">
            <v>恶性肿瘤靶向治疗、对症治疗</v>
          </cell>
          <cell r="K5">
            <v>12.797881729920601</v>
          </cell>
          <cell r="N5" t="str">
            <v>Z51.8</v>
          </cell>
          <cell r="O5" t="str">
            <v>恶性肿瘤靶向治疗、对症治疗</v>
          </cell>
          <cell r="Q5">
            <v>5.7426836002208699</v>
          </cell>
        </row>
        <row r="6">
          <cell r="B6" t="str">
            <v>D60-D61</v>
          </cell>
          <cell r="C6" t="str">
            <v>再生障碍性贫血</v>
          </cell>
          <cell r="E6">
            <v>5.6454073848031703</v>
          </cell>
          <cell r="H6" t="str">
            <v>D60-D61</v>
          </cell>
          <cell r="I6" t="str">
            <v>再生障碍性贫血</v>
          </cell>
          <cell r="K6">
            <v>5.5604589585172102</v>
          </cell>
          <cell r="N6" t="str">
            <v>D60-D61</v>
          </cell>
          <cell r="O6" t="str">
            <v>再生障碍性贫血</v>
          </cell>
          <cell r="Q6">
            <v>5.5494202098288197</v>
          </cell>
        </row>
        <row r="7">
          <cell r="B7" t="str">
            <v>D69</v>
          </cell>
          <cell r="C7" t="str">
            <v>血小板减少性紫癜</v>
          </cell>
          <cell r="E7">
            <v>4.3332316142813596</v>
          </cell>
          <cell r="H7" t="str">
            <v>C92</v>
          </cell>
          <cell r="I7" t="str">
            <v>急慢性髓样白血病</v>
          </cell>
          <cell r="K7">
            <v>3.5892909679317402</v>
          </cell>
          <cell r="N7" t="str">
            <v>C92</v>
          </cell>
          <cell r="O7" t="str">
            <v>急慢性髓样白血病</v>
          </cell>
          <cell r="Q7">
            <v>4.3070127001656502</v>
          </cell>
        </row>
        <row r="8">
          <cell r="B8" t="str">
            <v>C92</v>
          </cell>
          <cell r="C8" t="str">
            <v>急慢性髓样白血病</v>
          </cell>
          <cell r="E8">
            <v>3.20415013732072</v>
          </cell>
          <cell r="H8" t="str">
            <v>D69</v>
          </cell>
          <cell r="I8" t="str">
            <v>血小板减少性紫癜</v>
          </cell>
          <cell r="K8">
            <v>3.3245072080023501</v>
          </cell>
          <cell r="N8" t="str">
            <v>D69</v>
          </cell>
          <cell r="O8" t="str">
            <v>血小板减少性紫癜</v>
          </cell>
          <cell r="Q8">
            <v>3.17504141358366</v>
          </cell>
        </row>
      </sheetData>
      <sheetData sheetId="19">
        <row r="4">
          <cell r="B4" t="str">
            <v>I63</v>
          </cell>
          <cell r="C4" t="str">
            <v>脑梗死</v>
          </cell>
          <cell r="E4">
            <v>45.4370939161252</v>
          </cell>
          <cell r="H4" t="str">
            <v>I63</v>
          </cell>
          <cell r="I4" t="str">
            <v>脑梗死</v>
          </cell>
          <cell r="K4">
            <v>47.863510605594797</v>
          </cell>
          <cell r="N4" t="str">
            <v>I63</v>
          </cell>
          <cell r="O4" t="str">
            <v>脑梗死</v>
          </cell>
          <cell r="Q4">
            <v>48.141839578816999</v>
          </cell>
        </row>
        <row r="5">
          <cell r="B5" t="str">
            <v>H81</v>
          </cell>
          <cell r="C5" t="str">
            <v>眩晕</v>
          </cell>
          <cell r="E5">
            <v>12.404016538688699</v>
          </cell>
          <cell r="H5" t="str">
            <v>H81</v>
          </cell>
          <cell r="I5" t="str">
            <v>眩晕</v>
          </cell>
          <cell r="K5">
            <v>18.767291730710099</v>
          </cell>
          <cell r="N5" t="str">
            <v>H81</v>
          </cell>
          <cell r="O5" t="str">
            <v>眩晕</v>
          </cell>
          <cell r="Q5">
            <v>19.4797150820688</v>
          </cell>
        </row>
        <row r="6">
          <cell r="B6" t="str">
            <v>G45</v>
          </cell>
          <cell r="C6" t="str">
            <v>短暂性大脑缺血性发作和相关的综合征</v>
          </cell>
          <cell r="E6">
            <v>5.8771411695215603</v>
          </cell>
          <cell r="H6" t="str">
            <v>I61</v>
          </cell>
          <cell r="I6" t="str">
            <v>脑内出血</v>
          </cell>
          <cell r="K6">
            <v>4.0885336612357799</v>
          </cell>
          <cell r="N6" t="str">
            <v>I61</v>
          </cell>
          <cell r="O6" t="str">
            <v>脑内出血</v>
          </cell>
          <cell r="Q6">
            <v>3.79374419324868</v>
          </cell>
        </row>
        <row r="7">
          <cell r="B7" t="str">
            <v>I61</v>
          </cell>
          <cell r="C7" t="str">
            <v>脑内出血</v>
          </cell>
          <cell r="E7">
            <v>4.0608387477849996</v>
          </cell>
          <cell r="H7" t="str">
            <v>G45</v>
          </cell>
          <cell r="I7" t="str">
            <v>短暂性大脑缺血性发作和相关的综合征</v>
          </cell>
          <cell r="K7">
            <v>2.3824162311712298</v>
          </cell>
          <cell r="N7" t="str">
            <v>G44</v>
          </cell>
          <cell r="O7" t="str">
            <v>头痛综合征</v>
          </cell>
          <cell r="Q7">
            <v>2.04397646330133</v>
          </cell>
        </row>
        <row r="8">
          <cell r="B8" t="str">
            <v>G44</v>
          </cell>
          <cell r="C8" t="str">
            <v>头痛综合征</v>
          </cell>
          <cell r="E8">
            <v>1.9049025398700501</v>
          </cell>
          <cell r="H8" t="str">
            <v>G44</v>
          </cell>
          <cell r="I8" t="str">
            <v>头痛综合征</v>
          </cell>
          <cell r="K8">
            <v>1.7983399938518301</v>
          </cell>
          <cell r="N8" t="str">
            <v>G45</v>
          </cell>
          <cell r="O8" t="str">
            <v>短暂性大脑缺血性发作和相关的综合征</v>
          </cell>
          <cell r="Q8">
            <v>1.98203778259523</v>
          </cell>
        </row>
      </sheetData>
      <sheetData sheetId="20">
        <row r="4">
          <cell r="B4" t="str">
            <v>Z51.1</v>
          </cell>
          <cell r="C4" t="str">
            <v>为肿瘤化学治疗疗程</v>
          </cell>
          <cell r="E4">
            <v>38.287779534673597</v>
          </cell>
          <cell r="H4" t="str">
            <v>Z51.1</v>
          </cell>
          <cell r="I4" t="str">
            <v>为肿瘤化学治疗疗程</v>
          </cell>
          <cell r="K4">
            <v>42.075434825092799</v>
          </cell>
          <cell r="N4" t="str">
            <v>Z51.1</v>
          </cell>
          <cell r="O4" t="str">
            <v>为肿瘤化学治疗疗程</v>
          </cell>
          <cell r="Q4">
            <v>43.727522741696603</v>
          </cell>
        </row>
        <row r="5">
          <cell r="B5" t="str">
            <v>Z51.0</v>
          </cell>
          <cell r="C5" t="str">
            <v>放射治疗疗程</v>
          </cell>
          <cell r="E5">
            <v>26.067314208267501</v>
          </cell>
          <cell r="H5" t="str">
            <v>Z51.0</v>
          </cell>
          <cell r="I5" t="str">
            <v>放射治疗疗程</v>
          </cell>
          <cell r="K5">
            <v>28.669142075434799</v>
          </cell>
          <cell r="N5" t="str">
            <v>Z51.0</v>
          </cell>
          <cell r="O5" t="str">
            <v>放射治疗疗程</v>
          </cell>
          <cell r="Q5">
            <v>33.382695155489699</v>
          </cell>
        </row>
        <row r="6">
          <cell r="B6" t="str">
            <v>Z51.8</v>
          </cell>
          <cell r="C6" t="str">
            <v>各类抗肿瘤治疗</v>
          </cell>
          <cell r="E6">
            <v>12.3334086288683</v>
          </cell>
          <cell r="H6" t="str">
            <v>Z51.8</v>
          </cell>
          <cell r="I6" t="str">
            <v>各类抗肿瘤治疗</v>
          </cell>
          <cell r="K6">
            <v>12.5073285128005</v>
          </cell>
          <cell r="N6" t="str">
            <v>Z51.8</v>
          </cell>
          <cell r="O6" t="str">
            <v>其他特指的医疗照顾</v>
          </cell>
          <cell r="Q6">
            <v>8.2504759889993693</v>
          </cell>
        </row>
        <row r="7">
          <cell r="B7" t="str">
            <v>C11</v>
          </cell>
          <cell r="C7" t="str">
            <v>鼻咽恶性肿瘤</v>
          </cell>
          <cell r="E7">
            <v>5.1050372712898104</v>
          </cell>
          <cell r="H7" t="str">
            <v>C11</v>
          </cell>
          <cell r="I7" t="str">
            <v>鼻咽恶性肿瘤</v>
          </cell>
          <cell r="K7">
            <v>4.5339065858901701</v>
          </cell>
          <cell r="N7" t="str">
            <v>C11</v>
          </cell>
          <cell r="O7" t="str">
            <v>鼻咽恶性肿瘤</v>
          </cell>
          <cell r="Q7">
            <v>4.2944785276073603</v>
          </cell>
        </row>
        <row r="8">
          <cell r="B8" t="str">
            <v>C53</v>
          </cell>
          <cell r="C8" t="str">
            <v>宫颈恶性肿瘤</v>
          </cell>
          <cell r="E8">
            <v>1.6037948949627301</v>
          </cell>
          <cell r="H8" t="str">
            <v>C53</v>
          </cell>
          <cell r="I8" t="str">
            <v>宫颈恶性肿瘤</v>
          </cell>
          <cell r="K8">
            <v>1.11393394567129</v>
          </cell>
          <cell r="N8" t="str">
            <v>C53</v>
          </cell>
          <cell r="O8" t="str">
            <v>宫颈恶性肿瘤</v>
          </cell>
          <cell r="Q8">
            <v>0.57118679923841797</v>
          </cell>
        </row>
      </sheetData>
      <sheetData sheetId="21">
        <row r="4">
          <cell r="B4" t="str">
            <v>N18</v>
          </cell>
          <cell r="C4" t="str">
            <v>慢性肾衰竭</v>
          </cell>
          <cell r="E4">
            <v>55.032206119162602</v>
          </cell>
          <cell r="H4" t="str">
            <v>N18</v>
          </cell>
          <cell r="I4" t="str">
            <v>慢性肾衰竭</v>
          </cell>
          <cell r="K4">
            <v>58.170784568704001</v>
          </cell>
          <cell r="N4" t="str">
            <v>N18</v>
          </cell>
          <cell r="O4" t="str">
            <v>慢性肾衰竭</v>
          </cell>
          <cell r="Q4">
            <v>61.801109688433598</v>
          </cell>
        </row>
        <row r="5">
          <cell r="B5" t="str">
            <v>N03.9</v>
          </cell>
          <cell r="C5" t="str">
            <v>慢性肾炎综合征</v>
          </cell>
          <cell r="E5">
            <v>8.85668276972625</v>
          </cell>
          <cell r="H5" t="str">
            <v>N04</v>
          </cell>
          <cell r="I5" t="str">
            <v>肾病综合征伴有多个并发症</v>
          </cell>
          <cell r="K5">
            <v>8.1924577373212006</v>
          </cell>
          <cell r="N5" t="str">
            <v>N04</v>
          </cell>
          <cell r="O5" t="str">
            <v>肾病综合征伴有多个并发症</v>
          </cell>
          <cell r="Q5">
            <v>5.42040119504908</v>
          </cell>
        </row>
        <row r="6">
          <cell r="B6" t="str">
            <v>E11</v>
          </cell>
          <cell r="C6" t="str">
            <v>2型糖尿病伴有多个并发症</v>
          </cell>
          <cell r="E6">
            <v>7.1658615136875996</v>
          </cell>
          <cell r="H6" t="str">
            <v>N03.9</v>
          </cell>
          <cell r="I6" t="str">
            <v>慢性肾炎综合征</v>
          </cell>
          <cell r="K6">
            <v>5.8951018638925001</v>
          </cell>
          <cell r="N6" t="str">
            <v>N03.9</v>
          </cell>
          <cell r="O6" t="str">
            <v>慢性肾炎综合征</v>
          </cell>
          <cell r="Q6">
            <v>4.1399914639351296</v>
          </cell>
        </row>
        <row r="7">
          <cell r="B7" t="str">
            <v>N04</v>
          </cell>
          <cell r="C7" t="str">
            <v>肾病综合征伴有多个并发症</v>
          </cell>
          <cell r="E7">
            <v>6.1191626409017701</v>
          </cell>
          <cell r="H7" t="str">
            <v>N02</v>
          </cell>
          <cell r="I7" t="str">
            <v>复发性和持续性血尿</v>
          </cell>
          <cell r="K7">
            <v>4.2912873862158696</v>
          </cell>
          <cell r="N7" t="str">
            <v>N02</v>
          </cell>
          <cell r="O7" t="str">
            <v>复发性和持续性血尿</v>
          </cell>
          <cell r="Q7">
            <v>3.1156636790439598</v>
          </cell>
        </row>
        <row r="8">
          <cell r="B8" t="str">
            <v>M32</v>
          </cell>
          <cell r="C8" t="str">
            <v>系统性红斑狼疮</v>
          </cell>
          <cell r="E8">
            <v>3.4621578099838999</v>
          </cell>
          <cell r="H8" t="str">
            <v>N17</v>
          </cell>
          <cell r="I8" t="str">
            <v>急性肾衰竭</v>
          </cell>
          <cell r="K8">
            <v>3.6844386649328098</v>
          </cell>
          <cell r="N8" t="str">
            <v>N17</v>
          </cell>
          <cell r="O8" t="str">
            <v>急性肾衰竭</v>
          </cell>
          <cell r="Q8">
            <v>2.2193768672641898</v>
          </cell>
        </row>
      </sheetData>
      <sheetData sheetId="22">
        <row r="4">
          <cell r="B4" t="str">
            <v>J13-J18</v>
          </cell>
          <cell r="C4" t="str">
            <v>细菌性肺炎</v>
          </cell>
          <cell r="E4">
            <v>22.867737948084098</v>
          </cell>
          <cell r="H4" t="str">
            <v>J13-J18</v>
          </cell>
          <cell r="I4" t="str">
            <v>细菌性肺炎</v>
          </cell>
          <cell r="K4">
            <v>16.585365853658502</v>
          </cell>
          <cell r="N4" t="str">
            <v>J13-J18</v>
          </cell>
          <cell r="O4" t="str">
            <v>细菌性肺炎</v>
          </cell>
          <cell r="Q4">
            <v>14.1111111111111</v>
          </cell>
        </row>
        <row r="5">
          <cell r="B5" t="str">
            <v>A40-A41</v>
          </cell>
          <cell r="C5" t="str">
            <v>败血症</v>
          </cell>
          <cell r="E5">
            <v>6.7985166872682301</v>
          </cell>
          <cell r="H5" t="str">
            <v>A40-A41</v>
          </cell>
          <cell r="I5" t="str">
            <v>败血症</v>
          </cell>
          <cell r="K5">
            <v>8.4146341463414593</v>
          </cell>
          <cell r="N5" t="str">
            <v>A40-A41</v>
          </cell>
          <cell r="O5" t="str">
            <v>败血症</v>
          </cell>
          <cell r="Q5">
            <v>13.2222222222222</v>
          </cell>
        </row>
        <row r="6">
          <cell r="B6" t="str">
            <v>I63</v>
          </cell>
          <cell r="C6" t="str">
            <v>脑梗死</v>
          </cell>
          <cell r="E6">
            <v>6.6749072929542601</v>
          </cell>
          <cell r="H6" t="str">
            <v>I63</v>
          </cell>
          <cell r="I6" t="str">
            <v>脑梗死</v>
          </cell>
          <cell r="K6">
            <v>6.3414634146341502</v>
          </cell>
          <cell r="N6" t="str">
            <v>I63</v>
          </cell>
          <cell r="O6" t="str">
            <v>脑梗死</v>
          </cell>
          <cell r="Q6">
            <v>6.6666666666666696</v>
          </cell>
        </row>
        <row r="7">
          <cell r="B7" t="str">
            <v>I61</v>
          </cell>
          <cell r="C7" t="str">
            <v>脑内出血</v>
          </cell>
          <cell r="E7">
            <v>4.4499381953028401</v>
          </cell>
          <cell r="H7" t="str">
            <v>I21</v>
          </cell>
          <cell r="I7" t="str">
            <v>急性心肌梗死</v>
          </cell>
          <cell r="K7">
            <v>5.2439024390243896</v>
          </cell>
          <cell r="N7" t="str">
            <v>I21</v>
          </cell>
          <cell r="O7" t="str">
            <v>急性心肌梗死</v>
          </cell>
          <cell r="Q7">
            <v>5.5555555555555598</v>
          </cell>
        </row>
        <row r="8">
          <cell r="B8" t="str">
            <v>J44</v>
          </cell>
          <cell r="C8" t="str">
            <v>慢性阻塞性肺病</v>
          </cell>
          <cell r="E8">
            <v>3.5846724351050701</v>
          </cell>
          <cell r="H8" t="str">
            <v>I61</v>
          </cell>
          <cell r="I8" t="str">
            <v>脑内出血</v>
          </cell>
          <cell r="K8">
            <v>4.2682926829268304</v>
          </cell>
          <cell r="N8" t="str">
            <v>I61</v>
          </cell>
          <cell r="O8" t="str">
            <v>脑内出血</v>
          </cell>
          <cell r="Q8">
            <v>5</v>
          </cell>
        </row>
      </sheetData>
      <sheetData sheetId="23">
        <row r="4">
          <cell r="B4" t="str">
            <v>E11</v>
          </cell>
          <cell r="C4" t="str">
            <v>2型糖尿病及并发症</v>
          </cell>
          <cell r="E4">
            <v>82.203803022915693</v>
          </cell>
          <cell r="H4" t="str">
            <v>E11</v>
          </cell>
          <cell r="I4" t="str">
            <v>2型糖尿病及并发症</v>
          </cell>
          <cell r="K4">
            <v>82.4699110413396</v>
          </cell>
          <cell r="N4" t="str">
            <v>E11</v>
          </cell>
          <cell r="O4" t="str">
            <v>2型糖尿病及并发症</v>
          </cell>
          <cell r="Q4">
            <v>82.217680122636693</v>
          </cell>
        </row>
        <row r="5">
          <cell r="B5" t="str">
            <v>E05</v>
          </cell>
          <cell r="C5" t="str">
            <v>甲状腺毒症[甲状腺功能亢进症]</v>
          </cell>
          <cell r="E5">
            <v>6.0945880058508104</v>
          </cell>
          <cell r="H5" t="str">
            <v>E05</v>
          </cell>
          <cell r="I5" t="str">
            <v>甲状腺毒症[甲状腺功能亢进症]</v>
          </cell>
          <cell r="K5">
            <v>5.2851909994767103</v>
          </cell>
          <cell r="N5" t="str">
            <v>E05</v>
          </cell>
          <cell r="O5" t="str">
            <v>甲状腺毒症[甲状腺功能亢进症]</v>
          </cell>
          <cell r="Q5">
            <v>4.9565661727133401</v>
          </cell>
        </row>
        <row r="6">
          <cell r="B6" t="str">
            <v>E06</v>
          </cell>
          <cell r="C6" t="str">
            <v>甲状腺炎</v>
          </cell>
          <cell r="E6">
            <v>2.7791321306679699</v>
          </cell>
          <cell r="H6" t="str">
            <v>E06</v>
          </cell>
          <cell r="I6" t="str">
            <v>甲状腺炎</v>
          </cell>
          <cell r="K6">
            <v>2.0931449502878099</v>
          </cell>
          <cell r="N6" t="str">
            <v>E10</v>
          </cell>
          <cell r="O6" t="str">
            <v>1型糖尿病及并发症</v>
          </cell>
          <cell r="Q6">
            <v>2.86152273888605</v>
          </cell>
        </row>
        <row r="7">
          <cell r="B7" t="str">
            <v>E10</v>
          </cell>
          <cell r="C7" t="str">
            <v>1型糖尿病及并发症</v>
          </cell>
          <cell r="E7">
            <v>1.85275475377864</v>
          </cell>
          <cell r="H7" t="str">
            <v>E10</v>
          </cell>
          <cell r="I7" t="str">
            <v>1型糖尿病及并发症</v>
          </cell>
          <cell r="K7">
            <v>2.0931449502878099</v>
          </cell>
          <cell r="N7" t="str">
            <v>E06</v>
          </cell>
          <cell r="O7" t="str">
            <v>甲状腺炎</v>
          </cell>
          <cell r="Q7">
            <v>1.5329586101175301</v>
          </cell>
        </row>
        <row r="8">
          <cell r="B8" t="str">
            <v>E03</v>
          </cell>
          <cell r="C8" t="str">
            <v>甲状腺功能减退症</v>
          </cell>
          <cell r="E8">
            <v>1.0726474890297399</v>
          </cell>
          <cell r="H8" t="str">
            <v>E23</v>
          </cell>
          <cell r="I8" t="str">
            <v>垂体功能减退和疾患</v>
          </cell>
          <cell r="K8">
            <v>0.68027210884353695</v>
          </cell>
          <cell r="N8" t="str">
            <v>A41</v>
          </cell>
          <cell r="O8" t="str">
            <v>败血症</v>
          </cell>
          <cell r="Q8">
            <v>0.970873786407767</v>
          </cell>
        </row>
      </sheetData>
      <sheetData sheetId="24">
        <row r="4">
          <cell r="B4" t="str">
            <v>h25-h26/E88.906+H28.1*/q12</v>
          </cell>
          <cell r="C4" t="str">
            <v>白内障</v>
          </cell>
          <cell r="E4">
            <v>43.6929057337221</v>
          </cell>
          <cell r="H4" t="str">
            <v>h25-h26/E88.906+H28.1*/q12</v>
          </cell>
          <cell r="I4" t="str">
            <v>白内障</v>
          </cell>
          <cell r="K4">
            <v>39.960282436010601</v>
          </cell>
          <cell r="N4" t="str">
            <v>h25-h26/E88.906+H28.1*/q12</v>
          </cell>
          <cell r="O4" t="str">
            <v>白内障</v>
          </cell>
          <cell r="Q4">
            <v>35.103301795713499</v>
          </cell>
        </row>
        <row r="5">
          <cell r="B5" t="str">
            <v>H35</v>
          </cell>
          <cell r="C5" t="str">
            <v>视网膜的变性</v>
          </cell>
          <cell r="E5">
            <v>7.40524781341108</v>
          </cell>
          <cell r="H5" t="str">
            <v>E11.301+H36.0*</v>
          </cell>
          <cell r="I5" t="str">
            <v>2型糖尿病性视网膜病变</v>
          </cell>
          <cell r="K5">
            <v>8.2303618711385695</v>
          </cell>
          <cell r="N5" t="str">
            <v>E11.301+H36.0*</v>
          </cell>
          <cell r="O5" t="str">
            <v>2型糖尿病性视网膜病变</v>
          </cell>
          <cell r="Q5">
            <v>10.542575786831399</v>
          </cell>
        </row>
        <row r="6">
          <cell r="B6" t="str">
            <v>H11.0</v>
          </cell>
          <cell r="C6" t="str">
            <v>翼状胬肉</v>
          </cell>
          <cell r="E6">
            <v>6.6083576287657904</v>
          </cell>
          <cell r="H6" t="str">
            <v>H35</v>
          </cell>
          <cell r="I6" t="str">
            <v>视网膜的变性</v>
          </cell>
          <cell r="K6">
            <v>8.1641659311562194</v>
          </cell>
          <cell r="N6" t="str">
            <v>H35</v>
          </cell>
          <cell r="O6" t="str">
            <v>视网膜的变性</v>
          </cell>
          <cell r="Q6">
            <v>9.4033597219540397</v>
          </cell>
        </row>
        <row r="7">
          <cell r="B7" t="str">
            <v>E11.301+H36.0*</v>
          </cell>
          <cell r="C7" t="str">
            <v>2型糖尿病性视网膜病变</v>
          </cell>
          <cell r="E7">
            <v>4.6647230320699702</v>
          </cell>
          <cell r="H7" t="str">
            <v>H11.0</v>
          </cell>
          <cell r="I7" t="str">
            <v>翼状胬肉</v>
          </cell>
          <cell r="K7">
            <v>5.6487202118270101</v>
          </cell>
          <cell r="N7" t="str">
            <v>H11.0</v>
          </cell>
          <cell r="O7" t="str">
            <v>翼状胬肉</v>
          </cell>
          <cell r="Q7">
            <v>4.9430391967561302</v>
          </cell>
        </row>
        <row r="8">
          <cell r="B8" t="str">
            <v>H33</v>
          </cell>
          <cell r="C8" t="str">
            <v>视网膜脱离</v>
          </cell>
          <cell r="E8">
            <v>3.6540330417881401</v>
          </cell>
          <cell r="H8" t="str">
            <v>H33</v>
          </cell>
          <cell r="I8" t="str">
            <v>视网膜脱离</v>
          </cell>
          <cell r="K8">
            <v>4.1924095322153603</v>
          </cell>
          <cell r="N8" t="str">
            <v>H33</v>
          </cell>
          <cell r="O8" t="str">
            <v>视网膜脱离和断裂</v>
          </cell>
          <cell r="Q8">
            <v>4.4989380189225701</v>
          </cell>
        </row>
      </sheetData>
      <sheetData sheetId="25">
        <row r="4">
          <cell r="B4" t="str">
            <v>H65.3</v>
          </cell>
          <cell r="C4" t="str">
            <v>慢性粘液样中耳炎</v>
          </cell>
          <cell r="E4">
            <v>10.479704797048001</v>
          </cell>
          <cell r="H4" t="str">
            <v>J32</v>
          </cell>
          <cell r="I4" t="str">
            <v>慢性鼻窦炎</v>
          </cell>
          <cell r="K4">
            <v>9.4951923076923102</v>
          </cell>
          <cell r="N4" t="str">
            <v>J35</v>
          </cell>
          <cell r="O4" t="str">
            <v>扁桃体和腺样体肥大</v>
          </cell>
          <cell r="Q4">
            <v>17.763423496164702</v>
          </cell>
        </row>
        <row r="5">
          <cell r="B5" t="str">
            <v>J32</v>
          </cell>
          <cell r="C5" t="str">
            <v>慢性鼻窦炎</v>
          </cell>
          <cell r="E5">
            <v>9.5202952029520294</v>
          </cell>
          <cell r="H5" t="str">
            <v>J35.-</v>
          </cell>
          <cell r="I5" t="str">
            <v>扁桃体和腺样体肥大</v>
          </cell>
          <cell r="K5">
            <v>8.2131410256410309</v>
          </cell>
          <cell r="N5" t="str">
            <v>J32</v>
          </cell>
          <cell r="O5" t="str">
            <v>慢性鼻窦炎</v>
          </cell>
          <cell r="Q5">
            <v>9.9717400080742795</v>
          </cell>
        </row>
        <row r="6">
          <cell r="B6" t="str">
            <v>H90</v>
          </cell>
          <cell r="C6" t="str">
            <v>传导性和感音神经性听觉丧失</v>
          </cell>
          <cell r="E6">
            <v>9.2250922509225095</v>
          </cell>
          <cell r="H6" t="str">
            <v>H90</v>
          </cell>
          <cell r="I6" t="str">
            <v>传导性和感音神经性听觉丧失</v>
          </cell>
          <cell r="K6">
            <v>7.3717948717948696</v>
          </cell>
          <cell r="N6" t="str">
            <v>J38.1</v>
          </cell>
          <cell r="O6" t="str">
            <v>声带和喉的息肉</v>
          </cell>
          <cell r="Q6">
            <v>6.0153411384739597</v>
          </cell>
        </row>
        <row r="7">
          <cell r="B7" t="str">
            <v>J38.1</v>
          </cell>
          <cell r="C7" t="str">
            <v>声带和喉的息肉</v>
          </cell>
          <cell r="E7">
            <v>6.6789667896678999</v>
          </cell>
          <cell r="H7" t="str">
            <v>H91.2</v>
          </cell>
          <cell r="I7" t="str">
            <v>突发特发性听觉丧失</v>
          </cell>
          <cell r="K7">
            <v>5.8894230769230802</v>
          </cell>
          <cell r="N7" t="str">
            <v>H90</v>
          </cell>
          <cell r="O7" t="str">
            <v>传导性和感音神经性听觉丧失</v>
          </cell>
          <cell r="Q7">
            <v>5.7327412192167904</v>
          </cell>
        </row>
        <row r="8">
          <cell r="B8" t="str">
            <v>J35.-</v>
          </cell>
          <cell r="C8" t="str">
            <v>扁桃体和腺样体肥大</v>
          </cell>
          <cell r="E8">
            <v>5.3136531365313697</v>
          </cell>
          <cell r="H8" t="str">
            <v>J38.1</v>
          </cell>
          <cell r="I8" t="str">
            <v>声带和喉的息肉</v>
          </cell>
          <cell r="K8">
            <v>5.4887820512820502</v>
          </cell>
          <cell r="N8" t="str">
            <v>H91.2</v>
          </cell>
          <cell r="O8" t="str">
            <v>突发特发性听觉丧失</v>
          </cell>
          <cell r="Q8">
            <v>5.2482842147759401</v>
          </cell>
        </row>
      </sheetData>
      <sheetData sheetId="26">
        <row r="4">
          <cell r="B4" t="str">
            <v>M51.0-51.2</v>
          </cell>
          <cell r="C4" t="str">
            <v>腰椎间盘突出</v>
          </cell>
          <cell r="E4">
            <v>25.085616438356201</v>
          </cell>
          <cell r="H4" t="str">
            <v>M51.0-51.2</v>
          </cell>
          <cell r="I4" t="str">
            <v>腰椎间盘突出</v>
          </cell>
          <cell r="K4">
            <v>31.714568880079302</v>
          </cell>
          <cell r="N4" t="str">
            <v>M51.0-51.2</v>
          </cell>
          <cell r="O4" t="str">
            <v>腰椎间盘突出</v>
          </cell>
          <cell r="Q4">
            <v>29.817833173537899</v>
          </cell>
        </row>
        <row r="5">
          <cell r="B5" t="str">
            <v>M47.802</v>
          </cell>
          <cell r="C5" t="str">
            <v>混合型颈椎病</v>
          </cell>
          <cell r="E5">
            <v>20.376712328767098</v>
          </cell>
          <cell r="H5" t="str">
            <v>M47.802</v>
          </cell>
          <cell r="I5" t="str">
            <v>混合型颈椎病</v>
          </cell>
          <cell r="K5">
            <v>17.046580773042599</v>
          </cell>
          <cell r="N5" t="str">
            <v>M47.802</v>
          </cell>
          <cell r="O5" t="str">
            <v>混合型颈椎病</v>
          </cell>
          <cell r="Q5">
            <v>20.997123681687398</v>
          </cell>
        </row>
        <row r="6">
          <cell r="B6" t="str">
            <v>M80</v>
          </cell>
          <cell r="C6" t="str">
            <v>骨质疏松伴有病理性骨折</v>
          </cell>
          <cell r="E6">
            <v>7.27739726027397</v>
          </cell>
          <cell r="H6" t="str">
            <v>M80</v>
          </cell>
          <cell r="I6" t="str">
            <v>骨质疏松伴有病理性骨折</v>
          </cell>
          <cell r="K6">
            <v>7.7304261645193302</v>
          </cell>
          <cell r="N6" t="str">
            <v>M80</v>
          </cell>
          <cell r="O6" t="str">
            <v>骨质疏松伴有病理性骨折</v>
          </cell>
          <cell r="Q6">
            <v>6.8072866730584796</v>
          </cell>
        </row>
        <row r="7">
          <cell r="B7" t="str">
            <v>M17</v>
          </cell>
          <cell r="C7" t="str">
            <v>膝关节病</v>
          </cell>
          <cell r="E7">
            <v>3.9383561643835598</v>
          </cell>
          <cell r="H7" t="str">
            <v>M17</v>
          </cell>
          <cell r="I7" t="str">
            <v>膝关节病</v>
          </cell>
          <cell r="K7">
            <v>4.5589692765113998</v>
          </cell>
          <cell r="N7" t="str">
            <v>M17</v>
          </cell>
          <cell r="O7" t="str">
            <v>膝关节病</v>
          </cell>
          <cell r="Q7">
            <v>4.5062320230105497</v>
          </cell>
        </row>
        <row r="8">
          <cell r="B8" t="str">
            <v>M23</v>
          </cell>
          <cell r="C8" t="str">
            <v>膝关节内紊乱</v>
          </cell>
          <cell r="E8">
            <v>3.7671232876712302</v>
          </cell>
          <cell r="H8" t="str">
            <v>M23</v>
          </cell>
          <cell r="I8" t="str">
            <v>膝关节内紊乱</v>
          </cell>
          <cell r="K8">
            <v>3.3696729435084198</v>
          </cell>
          <cell r="N8" t="str">
            <v>M23</v>
          </cell>
          <cell r="O8" t="str">
            <v>膝关节内紊乱</v>
          </cell>
          <cell r="Q8">
            <v>3.7392138063278999</v>
          </cell>
        </row>
      </sheetData>
      <sheetData sheetId="27">
        <row r="4">
          <cell r="B4" t="str">
            <v>Q38.1</v>
          </cell>
          <cell r="C4" t="str">
            <v>舌系带过短</v>
          </cell>
          <cell r="E4">
            <v>19.724137931034502</v>
          </cell>
          <cell r="H4" t="str">
            <v>K09.2</v>
          </cell>
          <cell r="I4" t="str">
            <v>颌骨的囊肿</v>
          </cell>
          <cell r="K4">
            <v>19.5814648729447</v>
          </cell>
          <cell r="N4" t="str">
            <v>K09.2</v>
          </cell>
          <cell r="O4" t="str">
            <v>颌骨的囊肿</v>
          </cell>
          <cell r="Q4">
            <v>20.7397622192867</v>
          </cell>
        </row>
        <row r="5">
          <cell r="B5" t="str">
            <v>K09.2</v>
          </cell>
          <cell r="C5" t="str">
            <v>颌骨的囊肿</v>
          </cell>
          <cell r="E5">
            <v>14.758620689655199</v>
          </cell>
          <cell r="H5" t="str">
            <v>Q38.1</v>
          </cell>
          <cell r="I5" t="str">
            <v>舌系带过短</v>
          </cell>
          <cell r="K5">
            <v>16.292974588938701</v>
          </cell>
          <cell r="N5" t="str">
            <v>Q38.1</v>
          </cell>
          <cell r="O5" t="str">
            <v>舌系带过短</v>
          </cell>
          <cell r="Q5">
            <v>13.8705416116248</v>
          </cell>
        </row>
        <row r="6">
          <cell r="B6" t="str">
            <v>S02</v>
          </cell>
          <cell r="C6" t="str">
            <v>颅骨和面骨骨折</v>
          </cell>
          <cell r="E6">
            <v>8.9655172413793096</v>
          </cell>
          <cell r="H6" t="str">
            <v>S02</v>
          </cell>
          <cell r="I6" t="str">
            <v>颅骨和面骨骨折</v>
          </cell>
          <cell r="K6">
            <v>10.612855007473801</v>
          </cell>
          <cell r="N6" t="str">
            <v>S02</v>
          </cell>
          <cell r="O6" t="str">
            <v>颅骨和面骨骨折</v>
          </cell>
          <cell r="Q6">
            <v>9.9075297225891692</v>
          </cell>
        </row>
        <row r="7">
          <cell r="B7" t="str">
            <v>K12.2</v>
          </cell>
          <cell r="C7" t="str">
            <v>口蜂窝织炎和脓肿</v>
          </cell>
          <cell r="E7">
            <v>4.9655172413793096</v>
          </cell>
          <cell r="H7" t="str">
            <v>K01</v>
          </cell>
          <cell r="I7" t="str">
            <v>埋伏牙和阻生牙</v>
          </cell>
          <cell r="K7">
            <v>6.2780269058296003</v>
          </cell>
          <cell r="N7" t="str">
            <v>K11</v>
          </cell>
          <cell r="O7" t="str">
            <v>涎腺疾病</v>
          </cell>
          <cell r="Q7">
            <v>7.2655217965653902</v>
          </cell>
        </row>
        <row r="8">
          <cell r="B8" t="str">
            <v>D11.0</v>
          </cell>
          <cell r="C8" t="str">
            <v>腮腺良性肿瘤</v>
          </cell>
          <cell r="E8">
            <v>4.8275862068965498</v>
          </cell>
          <cell r="H8" t="str">
            <v>Z47.0</v>
          </cell>
          <cell r="I8" t="str">
            <v>取除骨折内固定装置</v>
          </cell>
          <cell r="K8">
            <v>4.9327354260089704</v>
          </cell>
          <cell r="N8" t="str">
            <v>K01</v>
          </cell>
          <cell r="O8" t="str">
            <v>埋伏牙和阻生牙</v>
          </cell>
          <cell r="Q8">
            <v>5.6803170409511203</v>
          </cell>
        </row>
      </sheetData>
      <sheetData sheetId="28">
        <row r="4">
          <cell r="B4" t="str">
            <v>T29</v>
          </cell>
          <cell r="C4" t="str">
            <v>身体多个部位的烧伤</v>
          </cell>
          <cell r="E4">
            <v>31.8327974276527</v>
          </cell>
          <cell r="H4" t="str">
            <v>T29</v>
          </cell>
          <cell r="I4" t="str">
            <v>身体多个部位的烧伤</v>
          </cell>
          <cell r="K4">
            <v>25.350593311758399</v>
          </cell>
          <cell r="N4" t="str">
            <v>T24</v>
          </cell>
          <cell r="O4" t="str">
            <v>髋和下肢烧伤</v>
          </cell>
          <cell r="Q4">
            <v>14.482758620689699</v>
          </cell>
        </row>
        <row r="5">
          <cell r="B5" t="str">
            <v>S01</v>
          </cell>
          <cell r="C5" t="str">
            <v>头部开放性伤口</v>
          </cell>
          <cell r="E5">
            <v>9.8606645230439405</v>
          </cell>
          <cell r="H5" t="str">
            <v>S01</v>
          </cell>
          <cell r="I5" t="str">
            <v>头部开放性伤口</v>
          </cell>
          <cell r="K5">
            <v>11.758360302049599</v>
          </cell>
          <cell r="N5" t="str">
            <v>S01</v>
          </cell>
          <cell r="O5" t="str">
            <v>头部开放性伤口</v>
          </cell>
          <cell r="Q5">
            <v>13.908045977011501</v>
          </cell>
        </row>
        <row r="6">
          <cell r="B6" t="str">
            <v>T24</v>
          </cell>
          <cell r="C6" t="str">
            <v>髋和下肢烧伤</v>
          </cell>
          <cell r="E6">
            <v>9.7534833869239002</v>
          </cell>
          <cell r="H6" t="str">
            <v>T24</v>
          </cell>
          <cell r="I6" t="str">
            <v>髋和下肢烧伤</v>
          </cell>
          <cell r="K6">
            <v>9.3851132686084107</v>
          </cell>
          <cell r="N6" t="str">
            <v>T21</v>
          </cell>
          <cell r="O6" t="str">
            <v>躯干烧伤</v>
          </cell>
          <cell r="Q6">
            <v>11.034482758620699</v>
          </cell>
        </row>
        <row r="7">
          <cell r="B7" t="str">
            <v>T22</v>
          </cell>
          <cell r="C7" t="str">
            <v>肩和上肢烧伤</v>
          </cell>
          <cell r="E7">
            <v>4.2872454448017097</v>
          </cell>
          <cell r="H7" t="str">
            <v>T22</v>
          </cell>
          <cell r="I7" t="str">
            <v>肩和上肢烧伤</v>
          </cell>
          <cell r="K7">
            <v>4.3149946062567404</v>
          </cell>
          <cell r="N7" t="str">
            <v>T22</v>
          </cell>
          <cell r="O7" t="str">
            <v>肩和上肢烧伤</v>
          </cell>
          <cell r="Q7">
            <v>9.31034482758621</v>
          </cell>
        </row>
        <row r="8">
          <cell r="B8" t="str">
            <v>T25</v>
          </cell>
          <cell r="C8" t="str">
            <v>踝和足烧伤</v>
          </cell>
          <cell r="E8">
            <v>2.7867095391211101</v>
          </cell>
          <cell r="H8" t="str">
            <v>L98.4</v>
          </cell>
          <cell r="I8" t="str">
            <v>皮肤慢性溃疡，不可归类在他处者</v>
          </cell>
          <cell r="K8">
            <v>3.9913700107874899</v>
          </cell>
          <cell r="N8" t="str">
            <v>L89</v>
          </cell>
          <cell r="O8" t="str">
            <v>受压区褥疮</v>
          </cell>
          <cell r="Q8">
            <v>6.4367816091953998</v>
          </cell>
        </row>
      </sheetData>
      <sheetData sheetId="29">
        <row r="4">
          <cell r="B4" t="str">
            <v>I84</v>
          </cell>
          <cell r="C4" t="str">
            <v>痔（混合痔、外痔、内痔）</v>
          </cell>
          <cell r="E4">
            <v>61.927144535840199</v>
          </cell>
          <cell r="H4" t="str">
            <v>I84</v>
          </cell>
          <cell r="I4" t="str">
            <v>痔（混合痔、外痔、内痔）</v>
          </cell>
          <cell r="K4">
            <v>57.881619937694701</v>
          </cell>
          <cell r="N4" t="str">
            <v>I84</v>
          </cell>
          <cell r="O4" t="str">
            <v>痔（混合痔、外痔、内痔）</v>
          </cell>
          <cell r="Q4">
            <v>56.698002350176303</v>
          </cell>
        </row>
        <row r="5">
          <cell r="B5" t="str">
            <v>K60.3</v>
          </cell>
          <cell r="C5" t="str">
            <v>肛瘘</v>
          </cell>
          <cell r="E5">
            <v>11.3983548766157</v>
          </cell>
          <cell r="H5" t="str">
            <v>K60.3</v>
          </cell>
          <cell r="I5" t="str">
            <v>肛瘘</v>
          </cell>
          <cell r="K5">
            <v>10.7165109034268</v>
          </cell>
          <cell r="N5" t="str">
            <v>K60.3</v>
          </cell>
          <cell r="O5" t="str">
            <v>肛瘘</v>
          </cell>
          <cell r="Q5">
            <v>15.5699177438308</v>
          </cell>
        </row>
        <row r="6">
          <cell r="B6" t="str">
            <v>D12.-</v>
          </cell>
          <cell r="C6" t="str">
            <v>结肠良性肿瘤</v>
          </cell>
          <cell r="E6">
            <v>5.6991774383078697</v>
          </cell>
          <cell r="H6" t="str">
            <v>K61.0</v>
          </cell>
          <cell r="I6" t="str">
            <v>肛门脓肿</v>
          </cell>
          <cell r="K6">
            <v>7.1028037383177596</v>
          </cell>
          <cell r="N6" t="str">
            <v>D12.-</v>
          </cell>
          <cell r="O6" t="str">
            <v>结肠良性肿瘤</v>
          </cell>
          <cell r="Q6">
            <v>5.2878965922444197</v>
          </cell>
        </row>
        <row r="7">
          <cell r="B7" t="str">
            <v>K61.0</v>
          </cell>
          <cell r="C7" t="str">
            <v>肛门脓肿</v>
          </cell>
          <cell r="E7">
            <v>4.8178613396004701</v>
          </cell>
          <cell r="H7" t="str">
            <v>D12.-</v>
          </cell>
          <cell r="I7" t="str">
            <v>结肠良性肿瘤</v>
          </cell>
          <cell r="K7">
            <v>5.9190031152648004</v>
          </cell>
          <cell r="N7" t="str">
            <v>K61.0</v>
          </cell>
          <cell r="O7" t="str">
            <v>肛门脓肿</v>
          </cell>
          <cell r="Q7">
            <v>4.7591069330199796</v>
          </cell>
        </row>
        <row r="8">
          <cell r="B8" t="str">
            <v>K60.1/K60.2</v>
          </cell>
          <cell r="C8" t="str">
            <v>肛裂</v>
          </cell>
          <cell r="E8">
            <v>4.7003525264394801</v>
          </cell>
          <cell r="H8" t="str">
            <v>K60.1/K60.2</v>
          </cell>
          <cell r="I8" t="str">
            <v>肛裂</v>
          </cell>
          <cell r="K8">
            <v>5.1090342679127696</v>
          </cell>
          <cell r="N8" t="str">
            <v>K60.1/K60.2</v>
          </cell>
          <cell r="O8" t="str">
            <v>肛裂</v>
          </cell>
          <cell r="Q8">
            <v>4.5828437132784998</v>
          </cell>
        </row>
      </sheetData>
      <sheetData sheetId="30">
        <row r="4">
          <cell r="B4" t="str">
            <v>O34.2</v>
          </cell>
          <cell r="C4" t="str">
            <v>子宫瘢痕</v>
          </cell>
          <cell r="E4">
            <v>12.520295868663201</v>
          </cell>
          <cell r="H4" t="str">
            <v>O34.2</v>
          </cell>
          <cell r="I4" t="str">
            <v>瘢痕子宫</v>
          </cell>
          <cell r="K4">
            <v>12.233223322332201</v>
          </cell>
          <cell r="N4" t="str">
            <v>O34.2</v>
          </cell>
          <cell r="O4" t="str">
            <v>瘢痕子宫</v>
          </cell>
          <cell r="Q4">
            <v>12.257583291894599</v>
          </cell>
        </row>
        <row r="5">
          <cell r="B5" t="str">
            <v>O70</v>
          </cell>
          <cell r="C5" t="str">
            <v>分娩时会阴裂伤</v>
          </cell>
          <cell r="E5">
            <v>10.788381742738601</v>
          </cell>
          <cell r="H5" t="str">
            <v>O70</v>
          </cell>
          <cell r="I5" t="str">
            <v>分娩时会阴裂伤</v>
          </cell>
          <cell r="K5">
            <v>9.5049504950494992</v>
          </cell>
          <cell r="N5" t="str">
            <v>O42</v>
          </cell>
          <cell r="O5" t="str">
            <v>胎膜早破</v>
          </cell>
          <cell r="Q5">
            <v>8.3540527100944804</v>
          </cell>
        </row>
        <row r="6">
          <cell r="B6" t="str">
            <v>O42</v>
          </cell>
          <cell r="C6" t="str">
            <v>胎膜早破</v>
          </cell>
          <cell r="E6">
            <v>8.9662637560887593</v>
          </cell>
          <cell r="H6" t="str">
            <v>O42</v>
          </cell>
          <cell r="I6" t="str">
            <v>胎膜早破</v>
          </cell>
          <cell r="K6">
            <v>8.6028602860285996</v>
          </cell>
          <cell r="N6" t="str">
            <v>O41.8</v>
          </cell>
          <cell r="O6" t="str">
            <v>羊水混浊</v>
          </cell>
          <cell r="Q6">
            <v>5.4947787170561897</v>
          </cell>
        </row>
        <row r="7">
          <cell r="B7" t="str">
            <v>O68</v>
          </cell>
          <cell r="C7" t="str">
            <v>分娩伴胎儿宫内窘迫</v>
          </cell>
          <cell r="E7">
            <v>7.3245534908894099</v>
          </cell>
          <cell r="H7" t="str">
            <v>O68</v>
          </cell>
          <cell r="I7" t="str">
            <v>分娩伴胎儿宫内窘迫</v>
          </cell>
          <cell r="K7">
            <v>6.6666666666666696</v>
          </cell>
          <cell r="N7" t="str">
            <v>O68</v>
          </cell>
          <cell r="O7" t="str">
            <v>分娩伴胎儿宫内窘迫</v>
          </cell>
          <cell r="Q7">
            <v>6.5141720537046197</v>
          </cell>
        </row>
        <row r="8">
          <cell r="B8" t="str">
            <v>O41.8</v>
          </cell>
          <cell r="C8" t="str">
            <v>羊水混浊</v>
          </cell>
          <cell r="E8">
            <v>5.0514162006133896</v>
          </cell>
          <cell r="H8" t="str">
            <v>O41.8</v>
          </cell>
          <cell r="I8" t="str">
            <v>羊水混浊</v>
          </cell>
          <cell r="K8">
            <v>4.0264026402640303</v>
          </cell>
          <cell r="N8" t="str">
            <v>O70</v>
          </cell>
          <cell r="O8" t="str">
            <v>分娩时会阴裂伤</v>
          </cell>
          <cell r="Q8">
            <v>5.5693684733963202</v>
          </cell>
        </row>
      </sheetData>
      <sheetData sheetId="31">
        <row r="4">
          <cell r="B4" t="str">
            <v>K40</v>
          </cell>
          <cell r="C4" t="str">
            <v>腹股沟疝</v>
          </cell>
          <cell r="E4">
            <v>44.390243902439003</v>
          </cell>
          <cell r="H4" t="str">
            <v>K40</v>
          </cell>
          <cell r="I4" t="str">
            <v>腹股沟疝</v>
          </cell>
          <cell r="K4">
            <v>40.101522842639604</v>
          </cell>
          <cell r="N4" t="str">
            <v>K40</v>
          </cell>
          <cell r="O4" t="str">
            <v>腹股沟疝</v>
          </cell>
          <cell r="Q4">
            <v>33.3061889250814</v>
          </cell>
        </row>
        <row r="5">
          <cell r="B5" t="str">
            <v>K56</v>
          </cell>
          <cell r="C5" t="str">
            <v>肠梗阻</v>
          </cell>
          <cell r="E5">
            <v>8.1533101045296199</v>
          </cell>
          <cell r="H5" t="str">
            <v>N43.3</v>
          </cell>
          <cell r="I5" t="str">
            <v>鞘膜积液</v>
          </cell>
          <cell r="K5">
            <v>11.590524534687001</v>
          </cell>
          <cell r="N5" t="str">
            <v>N43</v>
          </cell>
          <cell r="O5" t="str">
            <v>鞘膜积液</v>
          </cell>
          <cell r="Q5">
            <v>16.775244299674299</v>
          </cell>
        </row>
        <row r="6">
          <cell r="B6" t="str">
            <v>Q53</v>
          </cell>
          <cell r="C6" t="str">
            <v>隐睾</v>
          </cell>
          <cell r="E6">
            <v>6.2717770034843197</v>
          </cell>
          <cell r="H6" t="str">
            <v>Q53</v>
          </cell>
          <cell r="I6" t="str">
            <v>隐睾</v>
          </cell>
          <cell r="K6">
            <v>6.0067681895093097</v>
          </cell>
          <cell r="N6" t="str">
            <v>Q53</v>
          </cell>
          <cell r="O6" t="str">
            <v>隐睾</v>
          </cell>
          <cell r="Q6">
            <v>8.5504885993485296</v>
          </cell>
        </row>
        <row r="7">
          <cell r="B7" t="str">
            <v>Q55.6</v>
          </cell>
          <cell r="C7" t="str">
            <v>隐匿性阴茎</v>
          </cell>
          <cell r="E7">
            <v>4.94773519163763</v>
          </cell>
          <cell r="H7" t="str">
            <v>K56</v>
          </cell>
          <cell r="I7" t="str">
            <v>肠梗阻</v>
          </cell>
          <cell r="K7">
            <v>4.8223350253807098</v>
          </cell>
          <cell r="N7" t="str">
            <v>Q55.6</v>
          </cell>
          <cell r="O7" t="str">
            <v>隐匿性阴茎</v>
          </cell>
          <cell r="Q7">
            <v>6.5146579804560298</v>
          </cell>
        </row>
        <row r="8">
          <cell r="B8" t="str">
            <v>N43</v>
          </cell>
          <cell r="C8" t="str">
            <v>鞘膜积液</v>
          </cell>
          <cell r="E8">
            <v>3.7630662020905898</v>
          </cell>
          <cell r="H8" t="str">
            <v>Q55.6</v>
          </cell>
          <cell r="I8" t="str">
            <v>隐匿性阴茎</v>
          </cell>
          <cell r="K8">
            <v>4.3147208121827401</v>
          </cell>
          <cell r="N8" t="str">
            <v>K56</v>
          </cell>
          <cell r="O8" t="str">
            <v>肠梗阻</v>
          </cell>
          <cell r="Q8">
            <v>5.6188925081433201</v>
          </cell>
        </row>
      </sheetData>
      <sheetData sheetId="32">
        <row r="4">
          <cell r="B4" t="str">
            <v>G45</v>
          </cell>
          <cell r="C4" t="str">
            <v>短暂性大脑缺血性发作和相关的综合征</v>
          </cell>
          <cell r="E4">
            <v>11.2565445026178</v>
          </cell>
          <cell r="H4" t="str">
            <v>K29</v>
          </cell>
          <cell r="I4" t="str">
            <v>胃炎</v>
          </cell>
          <cell r="K4">
            <v>9.7382198952879602</v>
          </cell>
          <cell r="N4" t="str">
            <v>K29</v>
          </cell>
          <cell r="O4" t="str">
            <v>胃炎</v>
          </cell>
          <cell r="Q4">
            <v>9.3090608191973505</v>
          </cell>
        </row>
        <row r="5">
          <cell r="B5" t="str">
            <v>K29</v>
          </cell>
          <cell r="C5" t="str">
            <v>胃炎</v>
          </cell>
          <cell r="E5">
            <v>7.6963350785340303</v>
          </cell>
          <cell r="H5" t="str">
            <v>G45</v>
          </cell>
          <cell r="I5" t="str">
            <v>短暂性大脑缺血性发作和相关的综合征</v>
          </cell>
          <cell r="K5">
            <v>7.5916230366492101</v>
          </cell>
          <cell r="N5" t="str">
            <v>G45</v>
          </cell>
          <cell r="O5" t="str">
            <v>短暂性大脑缺血性发作和相关的综合征</v>
          </cell>
          <cell r="Q5">
            <v>6.8680182043856002</v>
          </cell>
        </row>
        <row r="6">
          <cell r="B6" t="str">
            <v>M51</v>
          </cell>
          <cell r="C6" t="str">
            <v>腰椎间盘突出</v>
          </cell>
          <cell r="E6">
            <v>4.9738219895288003</v>
          </cell>
          <cell r="H6" t="str">
            <v>K31.7</v>
          </cell>
          <cell r="I6" t="str">
            <v>胃息肉</v>
          </cell>
          <cell r="K6">
            <v>4.0314136125654496</v>
          </cell>
          <cell r="N6" t="str">
            <v>K31.7</v>
          </cell>
          <cell r="O6" t="str">
            <v>胃息肉</v>
          </cell>
          <cell r="Q6">
            <v>6.7852709971038498</v>
          </cell>
        </row>
        <row r="7">
          <cell r="B7" t="str">
            <v>J13-J18</v>
          </cell>
          <cell r="C7" t="str">
            <v>肺炎</v>
          </cell>
          <cell r="E7">
            <v>4.6596858638743504</v>
          </cell>
          <cell r="H7" t="str">
            <v>M51</v>
          </cell>
          <cell r="I7" t="str">
            <v>腰椎间盘突出</v>
          </cell>
          <cell r="K7">
            <v>3.0890052356020901</v>
          </cell>
          <cell r="N7" t="str">
            <v>M51</v>
          </cell>
          <cell r="O7" t="str">
            <v>腰椎间盘突出</v>
          </cell>
          <cell r="Q7">
            <v>2.9375258585022799</v>
          </cell>
        </row>
        <row r="8">
          <cell r="B8" t="str">
            <v>K31.7</v>
          </cell>
          <cell r="C8" t="str">
            <v>胃息肉</v>
          </cell>
          <cell r="E8">
            <v>3.29842931937173</v>
          </cell>
          <cell r="H8" t="str">
            <v>J13-J18</v>
          </cell>
          <cell r="I8" t="str">
            <v>肺炎</v>
          </cell>
          <cell r="K8">
            <v>1.51832460732984</v>
          </cell>
          <cell r="N8" t="str">
            <v>J13-J18</v>
          </cell>
          <cell r="O8" t="str">
            <v>肺炎</v>
          </cell>
          <cell r="Q8">
            <v>1.4067025237898201</v>
          </cell>
        </row>
      </sheetData>
      <sheetData sheetId="33">
        <row r="4">
          <cell r="B4" t="str">
            <v>M47.8</v>
          </cell>
          <cell r="C4" t="str">
            <v>混合型颈椎病</v>
          </cell>
          <cell r="E4">
            <v>15.844838921761999</v>
          </cell>
          <cell r="H4" t="str">
            <v>I63</v>
          </cell>
          <cell r="I4" t="str">
            <v>脑梗死</v>
          </cell>
          <cell r="K4">
            <v>16.964900206469402</v>
          </cell>
          <cell r="N4" t="str">
            <v>I63</v>
          </cell>
          <cell r="O4" t="str">
            <v>脑梗死</v>
          </cell>
          <cell r="Q4">
            <v>15.416791156259301</v>
          </cell>
        </row>
        <row r="5">
          <cell r="B5" t="str">
            <v>I63</v>
          </cell>
          <cell r="C5" t="str">
            <v>脑梗死</v>
          </cell>
          <cell r="E5">
            <v>13.8067061143984</v>
          </cell>
          <cell r="H5" t="str">
            <v>M47.8</v>
          </cell>
          <cell r="I5" t="str">
            <v>混合型颈椎病</v>
          </cell>
          <cell r="K5">
            <v>8.7749483826565697</v>
          </cell>
          <cell r="N5" t="str">
            <v>J44</v>
          </cell>
          <cell r="O5" t="str">
            <v>慢性阻塞性肺病</v>
          </cell>
          <cell r="Q5">
            <v>6.7523155064236597</v>
          </cell>
        </row>
        <row r="6">
          <cell r="B6" t="str">
            <v>J44</v>
          </cell>
          <cell r="C6" t="str">
            <v>慢性阻塞性肺病</v>
          </cell>
          <cell r="E6">
            <v>12.787639710716601</v>
          </cell>
          <cell r="H6" t="str">
            <v>J13-J18</v>
          </cell>
          <cell r="I6" t="str">
            <v>肺炎</v>
          </cell>
          <cell r="K6">
            <v>8.2587749483826602</v>
          </cell>
          <cell r="N6" t="str">
            <v>J13-J18</v>
          </cell>
          <cell r="O6" t="str">
            <v>肺炎</v>
          </cell>
          <cell r="Q6">
            <v>5.7066029279952204</v>
          </cell>
        </row>
        <row r="7">
          <cell r="B7" t="str">
            <v>J13-J18</v>
          </cell>
          <cell r="C7" t="str">
            <v>肺炎</v>
          </cell>
          <cell r="E7">
            <v>11.2426035502959</v>
          </cell>
          <cell r="H7" t="str">
            <v>J44</v>
          </cell>
          <cell r="I7" t="str">
            <v>慢性阻塞性肺病</v>
          </cell>
          <cell r="K7">
            <v>8.0178940123881599</v>
          </cell>
          <cell r="N7" t="str">
            <v>I20</v>
          </cell>
          <cell r="O7" t="str">
            <v>心绞痛</v>
          </cell>
          <cell r="Q7">
            <v>4.9596653719749</v>
          </cell>
        </row>
        <row r="8">
          <cell r="B8" t="str">
            <v>I20</v>
          </cell>
          <cell r="C8" t="str">
            <v>心绞痛</v>
          </cell>
          <cell r="E8">
            <v>5.2925706771860597</v>
          </cell>
          <cell r="H8" t="str">
            <v>I20</v>
          </cell>
          <cell r="I8" t="str">
            <v>心绞痛</v>
          </cell>
          <cell r="K8">
            <v>3.78527185134205</v>
          </cell>
          <cell r="N8" t="str">
            <v>M47.8</v>
          </cell>
          <cell r="O8" t="str">
            <v>混合型颈椎病</v>
          </cell>
          <cell r="Q8">
            <v>3.22677024200777</v>
          </cell>
        </row>
      </sheetData>
      <sheetData sheetId="34">
        <row r="4">
          <cell r="B4" t="str">
            <v>Z51.1</v>
          </cell>
          <cell r="C4" t="str">
            <v>为肿瘤化学治疗疗程</v>
          </cell>
          <cell r="E4">
            <v>50.085587127696002</v>
          </cell>
          <cell r="H4" t="str">
            <v>Z51.1</v>
          </cell>
          <cell r="I4" t="str">
            <v>为肿瘤化学治疗疗程</v>
          </cell>
          <cell r="K4">
            <v>56.545296922410103</v>
          </cell>
          <cell r="N4" t="str">
            <v>Z51.1</v>
          </cell>
          <cell r="O4" t="str">
            <v>为肿瘤化学治疗疗程</v>
          </cell>
          <cell r="Q4">
            <v>57.3853989813243</v>
          </cell>
        </row>
        <row r="5">
          <cell r="B5" t="str">
            <v>Z51.801</v>
          </cell>
          <cell r="C5" t="str">
            <v>恶性肿瘤靶向治疗</v>
          </cell>
          <cell r="E5">
            <v>14.275932899691901</v>
          </cell>
          <cell r="H5" t="str">
            <v>Z51.801</v>
          </cell>
          <cell r="I5" t="str">
            <v>恶性肿瘤靶向治疗</v>
          </cell>
          <cell r="K5">
            <v>6.6753359341135701</v>
          </cell>
          <cell r="N5" t="str">
            <v>Z51.801</v>
          </cell>
          <cell r="O5" t="str">
            <v>恶性肿瘤靶向治疗</v>
          </cell>
          <cell r="Q5">
            <v>20.509337860780999</v>
          </cell>
        </row>
        <row r="6">
          <cell r="B6" t="str">
            <v>C34</v>
          </cell>
          <cell r="C6" t="str">
            <v>肺恶性肿瘤</v>
          </cell>
          <cell r="E6">
            <v>5.7856898322492301</v>
          </cell>
          <cell r="H6" t="str">
            <v>C34</v>
          </cell>
          <cell r="I6" t="str">
            <v>肺恶性肿瘤</v>
          </cell>
          <cell r="K6">
            <v>2.9475509319462501</v>
          </cell>
          <cell r="N6" t="str">
            <v>Z51.800x095</v>
          </cell>
          <cell r="O6" t="str">
            <v>恶性肿瘤免疫治疗</v>
          </cell>
          <cell r="Q6">
            <v>5.4668930390492401</v>
          </cell>
        </row>
        <row r="7">
          <cell r="B7" t="str">
            <v>Z51.804</v>
          </cell>
          <cell r="C7" t="str">
            <v>肿瘤内分泌治疗</v>
          </cell>
          <cell r="E7">
            <v>4.5874700445053103</v>
          </cell>
          <cell r="H7" t="str">
            <v>Z51.804</v>
          </cell>
          <cell r="I7" t="str">
            <v>肿瘤内分泌治疗</v>
          </cell>
          <cell r="K7">
            <v>1.6038144776766401</v>
          </cell>
          <cell r="N7" t="str">
            <v>C34</v>
          </cell>
          <cell r="O7" t="str">
            <v>肺恶性肿瘤</v>
          </cell>
          <cell r="Q7">
            <v>2.4787775891341299</v>
          </cell>
        </row>
        <row r="8">
          <cell r="B8" t="str">
            <v>Z51.805</v>
          </cell>
          <cell r="C8" t="str">
            <v>肿瘤术后免疫治疗</v>
          </cell>
          <cell r="E8">
            <v>1.98562136254707</v>
          </cell>
          <cell r="H8" t="str">
            <v>C22</v>
          </cell>
          <cell r="I8" t="str">
            <v>肝和肝内胆管恶性肿瘤</v>
          </cell>
          <cell r="K8">
            <v>1.1053315994798401</v>
          </cell>
          <cell r="N8" t="str">
            <v>Z51.800x094</v>
          </cell>
          <cell r="O8" t="str">
            <v>恶性肿瘤内分泌治疗</v>
          </cell>
          <cell r="Q8">
            <v>2.1561969439728399</v>
          </cell>
        </row>
      </sheetData>
      <sheetData sheetId="35">
        <row r="4">
          <cell r="B4" t="str">
            <v>B02</v>
          </cell>
          <cell r="C4" t="str">
            <v>带状疱疹</v>
          </cell>
          <cell r="E4">
            <v>29.475437135720199</v>
          </cell>
          <cell r="H4" t="str">
            <v>B02</v>
          </cell>
          <cell r="I4" t="str">
            <v>带状疱疹</v>
          </cell>
          <cell r="K4">
            <v>28.298279158699799</v>
          </cell>
          <cell r="N4" t="str">
            <v>B02</v>
          </cell>
          <cell r="O4" t="str">
            <v>带状疱疹</v>
          </cell>
          <cell r="Q4">
            <v>19.614711033275</v>
          </cell>
        </row>
        <row r="5">
          <cell r="B5" t="str">
            <v>L30.9</v>
          </cell>
          <cell r="C5" t="str">
            <v>湿疹</v>
          </cell>
          <cell r="E5">
            <v>12.8226477935054</v>
          </cell>
          <cell r="H5" t="str">
            <v>L30.9</v>
          </cell>
          <cell r="I5" t="str">
            <v>湿疹</v>
          </cell>
          <cell r="K5">
            <v>15.391969407265799</v>
          </cell>
          <cell r="N5" t="str">
            <v>L30.9</v>
          </cell>
          <cell r="O5" t="str">
            <v>湿疹</v>
          </cell>
          <cell r="Q5">
            <v>8.6690017513134805</v>
          </cell>
        </row>
        <row r="6">
          <cell r="B6" t="str">
            <v>A63.0</v>
          </cell>
          <cell r="C6" t="str">
            <v>尖锐湿疣</v>
          </cell>
          <cell r="E6">
            <v>6.0782681099084099</v>
          </cell>
          <cell r="H6" t="str">
            <v>A63.0</v>
          </cell>
          <cell r="I6" t="str">
            <v>尖锐湿疣</v>
          </cell>
          <cell r="K6">
            <v>7.2657743785850899</v>
          </cell>
          <cell r="N6" t="str">
            <v>A63.0</v>
          </cell>
          <cell r="O6" t="str">
            <v>尖锐湿疣</v>
          </cell>
          <cell r="Q6">
            <v>6.3922942206654998</v>
          </cell>
        </row>
        <row r="7">
          <cell r="B7" t="str">
            <v>L95.9</v>
          </cell>
          <cell r="C7" t="str">
            <v>血管炎</v>
          </cell>
          <cell r="E7">
            <v>4.4962531223979996</v>
          </cell>
          <cell r="H7" t="str">
            <v>L95.9</v>
          </cell>
          <cell r="I7" t="str">
            <v>血管炎</v>
          </cell>
          <cell r="K7">
            <v>2.96367112810707</v>
          </cell>
          <cell r="N7" t="str">
            <v>L40</v>
          </cell>
          <cell r="O7" t="str">
            <v>银屑病（牛皮癣）</v>
          </cell>
          <cell r="Q7">
            <v>3.9404553415061301</v>
          </cell>
        </row>
        <row r="8">
          <cell r="B8" t="str">
            <v>L27</v>
          </cell>
          <cell r="C8" t="str">
            <v>药物性皮炎</v>
          </cell>
          <cell r="E8">
            <v>3.5803497085761902</v>
          </cell>
          <cell r="H8" t="str">
            <v>L51</v>
          </cell>
          <cell r="I8" t="str">
            <v>多形性红斑</v>
          </cell>
          <cell r="K8">
            <v>3.2504780114722802</v>
          </cell>
          <cell r="N8" t="str">
            <v>L51</v>
          </cell>
          <cell r="O8" t="str">
            <v>多形性红斑</v>
          </cell>
          <cell r="Q8">
            <v>3.0647985989492099</v>
          </cell>
        </row>
      </sheetData>
      <sheetData sheetId="36">
        <row r="4">
          <cell r="B4" t="str">
            <v>J13-J18</v>
          </cell>
          <cell r="C4" t="str">
            <v>细菌性肺炎</v>
          </cell>
          <cell r="E4">
            <v>26.027397260274</v>
          </cell>
          <cell r="H4" t="str">
            <v>J13-J18</v>
          </cell>
          <cell r="I4" t="str">
            <v>细菌性肺炎</v>
          </cell>
          <cell r="K4">
            <v>21.739130434782599</v>
          </cell>
          <cell r="N4" t="str">
            <v>J13-J18</v>
          </cell>
          <cell r="O4" t="str">
            <v>细菌性肺炎</v>
          </cell>
          <cell r="Q4">
            <v>17.647058823529399</v>
          </cell>
        </row>
        <row r="5">
          <cell r="B5" t="str">
            <v>I61</v>
          </cell>
          <cell r="C5" t="str">
            <v>脑出血</v>
          </cell>
          <cell r="E5">
            <v>16.438356164383599</v>
          </cell>
          <cell r="H5" t="str">
            <v>A40-A41</v>
          </cell>
          <cell r="I5" t="str">
            <v>败血症</v>
          </cell>
          <cell r="K5">
            <v>13.0434782608696</v>
          </cell>
          <cell r="N5" t="str">
            <v>I61</v>
          </cell>
          <cell r="O5" t="str">
            <v>脑出血</v>
          </cell>
          <cell r="Q5">
            <v>16.470588235294102</v>
          </cell>
        </row>
        <row r="6">
          <cell r="B6" t="str">
            <v>I63</v>
          </cell>
          <cell r="C6" t="str">
            <v>脑梗死</v>
          </cell>
          <cell r="E6">
            <v>16.438356164383599</v>
          </cell>
          <cell r="H6" t="str">
            <v>I61</v>
          </cell>
          <cell r="I6" t="str">
            <v>脑出血</v>
          </cell>
          <cell r="K6">
            <v>10.144927536231901</v>
          </cell>
          <cell r="N6" t="str">
            <v>A40-A41</v>
          </cell>
          <cell r="O6" t="str">
            <v>败血症</v>
          </cell>
          <cell r="Q6">
            <v>15.294117647058799</v>
          </cell>
        </row>
        <row r="7">
          <cell r="B7" t="str">
            <v>I21</v>
          </cell>
          <cell r="C7" t="str">
            <v>急性心肌梗死</v>
          </cell>
          <cell r="E7">
            <v>8.2191780821917799</v>
          </cell>
          <cell r="H7" t="str">
            <v>J44</v>
          </cell>
          <cell r="I7" t="str">
            <v>慢性阻塞性肺病</v>
          </cell>
          <cell r="K7">
            <v>5.7971014492753596</v>
          </cell>
          <cell r="N7" t="str">
            <v>G93</v>
          </cell>
          <cell r="O7" t="str">
            <v>脑病</v>
          </cell>
          <cell r="Q7">
            <v>7.0588235294117601</v>
          </cell>
        </row>
        <row r="8">
          <cell r="B8" t="str">
            <v>G93</v>
          </cell>
          <cell r="C8" t="str">
            <v>脑病</v>
          </cell>
          <cell r="E8">
            <v>4.10958904109589</v>
          </cell>
          <cell r="H8" t="str">
            <v>I60</v>
          </cell>
          <cell r="I8" t="str">
            <v>蛛网膜下腔出血</v>
          </cell>
          <cell r="K8">
            <v>4.3478260869565197</v>
          </cell>
          <cell r="N8" t="str">
            <v>I21</v>
          </cell>
          <cell r="O8" t="str">
            <v>急性心肌梗死</v>
          </cell>
          <cell r="Q8">
            <v>4.7058823529411802</v>
          </cell>
        </row>
      </sheetData>
      <sheetData sheetId="37">
        <row r="4">
          <cell r="B4" t="str">
            <v>M05-M06</v>
          </cell>
          <cell r="C4" t="str">
            <v>类风湿性关节炎</v>
          </cell>
          <cell r="E4">
            <v>27.111426543648001</v>
          </cell>
          <cell r="H4" t="str">
            <v>M05-M06</v>
          </cell>
          <cell r="I4" t="str">
            <v>血清反应阳性的类风湿性关节炎</v>
          </cell>
          <cell r="K4">
            <v>25.828262339418501</v>
          </cell>
          <cell r="N4" t="str">
            <v>M05-M06</v>
          </cell>
          <cell r="O4" t="str">
            <v>血清反应阳性的类风湿性关节炎</v>
          </cell>
          <cell r="Q4">
            <v>29.692082111436999</v>
          </cell>
        </row>
        <row r="5">
          <cell r="B5" t="str">
            <v>M10</v>
          </cell>
          <cell r="C5" t="str">
            <v>痛风</v>
          </cell>
          <cell r="E5">
            <v>16.5365507452094</v>
          </cell>
          <cell r="H5" t="str">
            <v>M32</v>
          </cell>
          <cell r="I5" t="str">
            <v>系统性红斑狼疮</v>
          </cell>
          <cell r="K5">
            <v>23.191345503718701</v>
          </cell>
          <cell r="N5" t="str">
            <v>M32</v>
          </cell>
          <cell r="O5" t="str">
            <v>系统性红斑狼疮</v>
          </cell>
          <cell r="Q5">
            <v>15.4692082111437</v>
          </cell>
        </row>
        <row r="6">
          <cell r="B6" t="str">
            <v>M32</v>
          </cell>
          <cell r="C6" t="str">
            <v>系统性红斑狼疮</v>
          </cell>
          <cell r="E6">
            <v>14.833215046132</v>
          </cell>
          <cell r="H6" t="str">
            <v>M10</v>
          </cell>
          <cell r="I6" t="str">
            <v>痛风</v>
          </cell>
          <cell r="K6">
            <v>16.430020283975701</v>
          </cell>
          <cell r="N6" t="str">
            <v>M10</v>
          </cell>
          <cell r="O6" t="str">
            <v>痛风</v>
          </cell>
          <cell r="Q6">
            <v>11.7302052785924</v>
          </cell>
        </row>
        <row r="7">
          <cell r="B7" t="str">
            <v>M81</v>
          </cell>
          <cell r="C7" t="str">
            <v>骨质疏松不伴有病理性骨折</v>
          </cell>
          <cell r="E7">
            <v>4.3293115684882899</v>
          </cell>
          <cell r="H7" t="str">
            <v>M81</v>
          </cell>
          <cell r="I7" t="str">
            <v>骨质疏松不伴有病理性骨折</v>
          </cell>
          <cell r="K7">
            <v>3.85395537525355</v>
          </cell>
          <cell r="N7" t="str">
            <v>M81</v>
          </cell>
          <cell r="O7" t="str">
            <v>骨质疏松不伴有病理性骨折</v>
          </cell>
          <cell r="Q7">
            <v>9.0909090909090899</v>
          </cell>
        </row>
        <row r="8">
          <cell r="B8" t="str">
            <v>M35.0</v>
          </cell>
          <cell r="C8" t="str">
            <v>干燥综合征[舍格伦]</v>
          </cell>
          <cell r="E8">
            <v>2.4840312278211498</v>
          </cell>
          <cell r="H8" t="str">
            <v>M35.0</v>
          </cell>
          <cell r="I8" t="str">
            <v>干燥综合征[舍格伦]</v>
          </cell>
          <cell r="K8">
            <v>2.4340770791074999</v>
          </cell>
          <cell r="N8" t="str">
            <v>M45.x</v>
          </cell>
          <cell r="O8" t="str">
            <v>强直性脊柱炎</v>
          </cell>
          <cell r="Q8">
            <v>5.4252199413489697</v>
          </cell>
        </row>
      </sheetData>
      <sheetData sheetId="38">
        <row r="4">
          <cell r="B4" t="str">
            <v>M47.8</v>
          </cell>
          <cell r="C4" t="str">
            <v>混合型颈椎病</v>
          </cell>
          <cell r="E4">
            <v>18.100358422939099</v>
          </cell>
          <cell r="H4" t="str">
            <v>M47.8</v>
          </cell>
          <cell r="I4" t="str">
            <v>混合型颈椎病</v>
          </cell>
          <cell r="K4">
            <v>18.9247311827957</v>
          </cell>
          <cell r="N4" t="str">
            <v>M50.2</v>
          </cell>
          <cell r="O4" t="str">
            <v>颈椎间盘突出</v>
          </cell>
          <cell r="Q4">
            <v>19.8187995469989</v>
          </cell>
        </row>
        <row r="5">
          <cell r="B5" t="str">
            <v>G45</v>
          </cell>
          <cell r="C5" t="str">
            <v>短暂性大脑缺血性发作和相关的综合征</v>
          </cell>
          <cell r="E5">
            <v>14.5161290322581</v>
          </cell>
          <cell r="H5" t="str">
            <v>M51</v>
          </cell>
          <cell r="I5" t="str">
            <v>腰椎间盘突出</v>
          </cell>
          <cell r="K5">
            <v>12.473118279569899</v>
          </cell>
          <cell r="N5" t="str">
            <v>G45</v>
          </cell>
          <cell r="O5" t="str">
            <v>短暂性大脑缺血性发作和相关的综合征</v>
          </cell>
          <cell r="Q5">
            <v>11.5515288788222</v>
          </cell>
        </row>
        <row r="6">
          <cell r="B6" t="str">
            <v>M51</v>
          </cell>
          <cell r="C6" t="str">
            <v>腰椎间盘突出</v>
          </cell>
          <cell r="E6">
            <v>10.573476702509</v>
          </cell>
          <cell r="H6" t="str">
            <v>G45</v>
          </cell>
          <cell r="I6" t="str">
            <v>短暂性大脑缺血性发作和相关的综合征</v>
          </cell>
          <cell r="K6">
            <v>11.1827956989247</v>
          </cell>
          <cell r="N6" t="str">
            <v>M51</v>
          </cell>
          <cell r="O6" t="str">
            <v>腰椎间盘突出</v>
          </cell>
          <cell r="Q6">
            <v>10.079275198188</v>
          </cell>
        </row>
        <row r="7">
          <cell r="B7" t="str">
            <v>J13-J18</v>
          </cell>
          <cell r="C7" t="str">
            <v>细菌性肺炎</v>
          </cell>
          <cell r="E7">
            <v>9.3189964157706093</v>
          </cell>
          <cell r="H7" t="str">
            <v>I25.1</v>
          </cell>
          <cell r="I7" t="str">
            <v>冠状动脉硬化性心脏病</v>
          </cell>
          <cell r="K7">
            <v>6.6666666666666696</v>
          </cell>
          <cell r="N7" t="str">
            <v>I63</v>
          </cell>
          <cell r="O7" t="str">
            <v>脑梗死</v>
          </cell>
          <cell r="Q7">
            <v>9.1732729331823304</v>
          </cell>
        </row>
        <row r="8">
          <cell r="B8" t="str">
            <v>I25.1</v>
          </cell>
          <cell r="C8" t="str">
            <v>冠状动脉硬化性心脏病</v>
          </cell>
          <cell r="E8">
            <v>6.3620071684587796</v>
          </cell>
          <cell r="H8" t="str">
            <v>I63</v>
          </cell>
          <cell r="I8" t="str">
            <v>脑梗死</v>
          </cell>
          <cell r="K8">
            <v>7.5268817204301097</v>
          </cell>
          <cell r="N8" t="str">
            <v>E11</v>
          </cell>
          <cell r="O8" t="str">
            <v>2型糖尿病及并发症</v>
          </cell>
          <cell r="Q8">
            <v>7.3612684031710103</v>
          </cell>
        </row>
      </sheetData>
      <sheetData sheetId="39">
        <row r="4">
          <cell r="B4" t="str">
            <v>J13-J18</v>
          </cell>
          <cell r="C4" t="str">
            <v>细菌性肺炎</v>
          </cell>
          <cell r="E4">
            <v>47.463026166097798</v>
          </cell>
          <cell r="H4" t="str">
            <v>J13-J18</v>
          </cell>
          <cell r="I4" t="str">
            <v>细菌性肺炎</v>
          </cell>
          <cell r="K4">
            <v>34.365693865396103</v>
          </cell>
          <cell r="N4" t="str">
            <v>J13-J18</v>
          </cell>
          <cell r="O4" t="str">
            <v>细菌性肺炎</v>
          </cell>
          <cell r="Q4">
            <v>52.058047493403699</v>
          </cell>
        </row>
        <row r="5">
          <cell r="B5" t="str">
            <v>D56</v>
          </cell>
          <cell r="C5" t="str">
            <v>地中海贫血</v>
          </cell>
          <cell r="E5">
            <v>6.4846416382252601</v>
          </cell>
          <cell r="H5" t="str">
            <v>D56</v>
          </cell>
          <cell r="I5" t="str">
            <v>地中海贫血</v>
          </cell>
          <cell r="K5">
            <v>8.1000595592614708</v>
          </cell>
          <cell r="N5" t="str">
            <v>D56</v>
          </cell>
          <cell r="O5" t="str">
            <v>地中海贫血</v>
          </cell>
          <cell r="Q5">
            <v>5.5145118733509202</v>
          </cell>
        </row>
        <row r="6">
          <cell r="B6" t="str">
            <v>J10</v>
          </cell>
          <cell r="C6" t="str">
            <v>流行性感冒</v>
          </cell>
          <cell r="E6">
            <v>4.9374288964732704</v>
          </cell>
          <cell r="H6" t="str">
            <v>J20</v>
          </cell>
          <cell r="I6" t="str">
            <v>急性支气管炎</v>
          </cell>
          <cell r="K6">
            <v>3.8415723645026798</v>
          </cell>
          <cell r="N6" t="str">
            <v>A40-A41</v>
          </cell>
          <cell r="O6" t="str">
            <v>败血症</v>
          </cell>
          <cell r="Q6">
            <v>4.4063324538258604</v>
          </cell>
        </row>
        <row r="7">
          <cell r="B7" t="str">
            <v>B08.4</v>
          </cell>
          <cell r="C7" t="str">
            <v>手足口病</v>
          </cell>
          <cell r="E7">
            <v>2.9806598407281002</v>
          </cell>
          <cell r="H7" t="str">
            <v>D69</v>
          </cell>
          <cell r="I7" t="str">
            <v>血小板减少性紫癜</v>
          </cell>
          <cell r="K7">
            <v>3.5735556879094701</v>
          </cell>
          <cell r="N7" t="str">
            <v>G40</v>
          </cell>
          <cell r="O7" t="str">
            <v>癫癎</v>
          </cell>
          <cell r="Q7">
            <v>3.0870712401055398</v>
          </cell>
        </row>
        <row r="8">
          <cell r="B8" t="str">
            <v>D69</v>
          </cell>
          <cell r="C8" t="str">
            <v>血小板减少性紫癜</v>
          </cell>
          <cell r="E8">
            <v>3.1854379977246898</v>
          </cell>
          <cell r="H8" t="str">
            <v>G40</v>
          </cell>
          <cell r="I8" t="str">
            <v>癫癎</v>
          </cell>
          <cell r="K8">
            <v>2.9779630732578899</v>
          </cell>
          <cell r="N8" t="str">
            <v>D69</v>
          </cell>
          <cell r="O8" t="str">
            <v>血小板减少性紫癜</v>
          </cell>
          <cell r="Q8">
            <v>3.0079155672823199</v>
          </cell>
        </row>
      </sheetData>
      <sheetData sheetId="40">
        <row r="4">
          <cell r="B4" t="str">
            <v>P59</v>
          </cell>
          <cell r="C4" t="str">
            <v>新生儿黄疸</v>
          </cell>
          <cell r="E4">
            <v>31.979695431472098</v>
          </cell>
          <cell r="H4" t="str">
            <v>P59</v>
          </cell>
          <cell r="I4" t="str">
            <v>新生儿黄疸</v>
          </cell>
          <cell r="K4">
            <v>29.919857524487998</v>
          </cell>
          <cell r="N4" t="str">
            <v>P59</v>
          </cell>
          <cell r="O4" t="str">
            <v>新生儿黄疸</v>
          </cell>
          <cell r="Q4">
            <v>32.7746741154562</v>
          </cell>
        </row>
        <row r="5">
          <cell r="B5" t="str">
            <v>P22</v>
          </cell>
          <cell r="C5" t="str">
            <v>新生儿呼吸窘迫</v>
          </cell>
          <cell r="E5">
            <v>24.555837563451799</v>
          </cell>
          <cell r="H5" t="str">
            <v>P22</v>
          </cell>
          <cell r="I5" t="str">
            <v>新生儿呼吸窘迫</v>
          </cell>
          <cell r="K5">
            <v>23.775601068566299</v>
          </cell>
          <cell r="N5" t="str">
            <v>P22</v>
          </cell>
          <cell r="O5" t="str">
            <v>新生儿呼吸窘迫</v>
          </cell>
          <cell r="Q5">
            <v>21.415270018622</v>
          </cell>
        </row>
        <row r="6">
          <cell r="B6" t="str">
            <v>P23</v>
          </cell>
          <cell r="C6" t="str">
            <v>新生儿肺炎（先天性肺炎）</v>
          </cell>
          <cell r="E6">
            <v>15.1649746192893</v>
          </cell>
          <cell r="H6" t="str">
            <v>P23</v>
          </cell>
          <cell r="I6" t="str">
            <v>新生儿肺炎（先天性肺炎）</v>
          </cell>
          <cell r="K6">
            <v>17.8094390026714</v>
          </cell>
          <cell r="N6" t="str">
            <v>P23</v>
          </cell>
          <cell r="O6" t="str">
            <v>新生儿肺炎（先天性肺炎）</v>
          </cell>
          <cell r="Q6">
            <v>16.3873370577281</v>
          </cell>
        </row>
        <row r="7">
          <cell r="B7" t="str">
            <v>P55.1</v>
          </cell>
          <cell r="C7" t="str">
            <v>胎儿和新生儿的ABO同种免疫</v>
          </cell>
          <cell r="E7">
            <v>9.0101522842639596</v>
          </cell>
          <cell r="H7" t="str">
            <v>P55</v>
          </cell>
          <cell r="I7" t="str">
            <v>新生儿的溶血性疾病</v>
          </cell>
          <cell r="K7">
            <v>7.4799643811219996</v>
          </cell>
          <cell r="N7" t="str">
            <v>P55</v>
          </cell>
          <cell r="O7" t="str">
            <v>新生儿的溶血性疾病</v>
          </cell>
          <cell r="Q7">
            <v>9.4972067039106101</v>
          </cell>
        </row>
        <row r="8">
          <cell r="B8" t="str">
            <v>G93.4</v>
          </cell>
          <cell r="C8" t="str">
            <v>脑损伤综合征</v>
          </cell>
          <cell r="E8">
            <v>2.85532994923858</v>
          </cell>
          <cell r="H8" t="str">
            <v>P07</v>
          </cell>
          <cell r="I8" t="str">
            <v>早产低体重儿</v>
          </cell>
          <cell r="K8">
            <v>2.84951024042743</v>
          </cell>
          <cell r="N8" t="str">
            <v>P07</v>
          </cell>
          <cell r="O8" t="str">
            <v>早产低体重儿</v>
          </cell>
          <cell r="Q8">
            <v>4.0037243947858503</v>
          </cell>
        </row>
      </sheetData>
      <sheetData sheetId="41">
        <row r="4">
          <cell r="B4" t="str">
            <v>G93.40000</v>
          </cell>
          <cell r="C4" t="str">
            <v>脑损伤综合症</v>
          </cell>
          <cell r="E4">
            <v>67.114337568058104</v>
          </cell>
          <cell r="H4" t="str">
            <v>G93.40000</v>
          </cell>
          <cell r="I4" t="str">
            <v>脑损伤综合症</v>
          </cell>
          <cell r="K4">
            <v>53.390174583840803</v>
          </cell>
          <cell r="N4" t="str">
            <v>G93.40000</v>
          </cell>
          <cell r="O4" t="str">
            <v>脑损伤综合症</v>
          </cell>
          <cell r="Q4">
            <v>45.831533477321798</v>
          </cell>
        </row>
        <row r="5">
          <cell r="B5" t="str">
            <v>F79.900</v>
          </cell>
          <cell r="C5" t="str">
            <v>言语和语言发育障碍</v>
          </cell>
          <cell r="E5">
            <v>20.762250453720501</v>
          </cell>
          <cell r="H5" t="str">
            <v>F80.900</v>
          </cell>
          <cell r="I5" t="str">
            <v>言语和语言发育障碍</v>
          </cell>
          <cell r="K5">
            <v>35.566382460414097</v>
          </cell>
          <cell r="N5" t="str">
            <v>F80.900</v>
          </cell>
          <cell r="O5" t="str">
            <v>言语和语言发育障碍</v>
          </cell>
          <cell r="Q5">
            <v>42.937365010799098</v>
          </cell>
        </row>
        <row r="6">
          <cell r="B6" t="str">
            <v>G80.900</v>
          </cell>
          <cell r="C6" t="str">
            <v>大脑性瘫痪[脑瘫]</v>
          </cell>
          <cell r="E6">
            <v>10.6715063520871</v>
          </cell>
          <cell r="H6" t="str">
            <v>G80.900</v>
          </cell>
          <cell r="I6" t="str">
            <v>大脑性瘫痪[脑瘫]</v>
          </cell>
          <cell r="K6">
            <v>10.9216402760861</v>
          </cell>
          <cell r="N6" t="str">
            <v>G80.900</v>
          </cell>
          <cell r="O6" t="str">
            <v>大脑性瘫痪［脑瘫］</v>
          </cell>
          <cell r="Q6">
            <v>11.1879049676026</v>
          </cell>
        </row>
        <row r="7">
          <cell r="B7" t="str">
            <v>F84.000</v>
          </cell>
          <cell r="C7" t="str">
            <v>童年孤独症</v>
          </cell>
          <cell r="E7">
            <v>0.90744101633393803</v>
          </cell>
          <cell r="H7" t="str">
            <v>F84.000</v>
          </cell>
          <cell r="I7" t="str">
            <v>童年孤独症</v>
          </cell>
          <cell r="K7">
            <v>4.0600893219650797E-2</v>
          </cell>
        </row>
      </sheetData>
      <sheetData sheetId="42"/>
      <sheetData sheetId="4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大心血管科"/>
      <sheetName val="心血管内科"/>
      <sheetName val="心脏外科"/>
      <sheetName val="大骨科"/>
      <sheetName val="脊柱外科"/>
      <sheetName val="创伤骨科"/>
      <sheetName val="关节骨病科"/>
      <sheetName val="妇科"/>
      <sheetName val="头颈乳腺外科"/>
      <sheetName val="胃肠外科"/>
      <sheetName val="胸外科"/>
      <sheetName val="神经外科"/>
      <sheetName val="肝胆外科"/>
      <sheetName val="泌尿外科"/>
      <sheetName val="麻醉科"/>
      <sheetName val="呼吸内科"/>
      <sheetName val="消化内科"/>
      <sheetName val="康复医学科"/>
      <sheetName val="血液内科"/>
      <sheetName val="神经内科"/>
      <sheetName val="放射治疗科"/>
      <sheetName val="肾内科"/>
      <sheetName val="重症医学科"/>
      <sheetName val="内分泌内科"/>
      <sheetName val="眼科"/>
      <sheetName val="耳鼻喉科"/>
      <sheetName val="疼痛科"/>
      <sheetName val="口腔科"/>
      <sheetName val="烧伤整形科"/>
      <sheetName val="肛肠科"/>
      <sheetName val="产科"/>
      <sheetName val="小儿外科"/>
      <sheetName val="中医科"/>
      <sheetName val="全科医学科"/>
      <sheetName val="肿瘤内科"/>
      <sheetName val="皮肤科"/>
      <sheetName val="急诊科"/>
      <sheetName val="风湿免疫内科"/>
      <sheetName val="市区分院"/>
      <sheetName val="儿科"/>
      <sheetName val="新生儿科"/>
      <sheetName val="儿童康复科"/>
      <sheetName val="生殖中心"/>
      <sheetName val="Sheet40"/>
    </sheetNames>
    <sheetDataSet>
      <sheetData sheetId="0">
        <row r="4">
          <cell r="B4" t="str">
            <v>36.07</v>
          </cell>
          <cell r="C4" t="str">
            <v>药物洗脱冠状动脉支架植入术</v>
          </cell>
          <cell r="E4">
            <v>76.104513064133002</v>
          </cell>
          <cell r="H4">
            <v>36.07</v>
          </cell>
          <cell r="I4" t="str">
            <v>药物洗脱冠状动脉支架植入术</v>
          </cell>
          <cell r="K4">
            <v>76.870163370593303</v>
          </cell>
          <cell r="N4">
            <v>36.07</v>
          </cell>
          <cell r="O4" t="str">
            <v>药物洗脱冠状动脉支架置入</v>
          </cell>
          <cell r="Q4">
            <v>14.96</v>
          </cell>
        </row>
        <row r="5">
          <cell r="B5" t="str">
            <v>37.34</v>
          </cell>
          <cell r="C5" t="str">
            <v>心脏病损腔内消融术</v>
          </cell>
          <cell r="E5">
            <v>7.6959619952494096</v>
          </cell>
          <cell r="H5">
            <v>37.340000000000003</v>
          </cell>
          <cell r="I5" t="str">
            <v>心脏病损腔内消融术</v>
          </cell>
          <cell r="K5">
            <v>5.9329320722269996</v>
          </cell>
          <cell r="N5">
            <v>36.06</v>
          </cell>
          <cell r="O5" t="str">
            <v>冠状动脉药物涂层支架置入术</v>
          </cell>
          <cell r="Q5">
            <v>1.7</v>
          </cell>
        </row>
        <row r="6">
          <cell r="B6" t="str">
            <v>39.73</v>
          </cell>
          <cell r="C6" t="str">
            <v>胸主动脉支架植入术</v>
          </cell>
          <cell r="E6">
            <v>2.5178147268408502</v>
          </cell>
          <cell r="H6">
            <v>39.729999999999997</v>
          </cell>
          <cell r="I6" t="str">
            <v>胸主动脉移植物的血管腔内植入术</v>
          </cell>
          <cell r="K6">
            <v>2.7085124677558001</v>
          </cell>
          <cell r="N6">
            <v>37.340000000000003</v>
          </cell>
          <cell r="O6" t="str">
            <v>经导管心脏射频消融术</v>
          </cell>
          <cell r="Q6">
            <v>1.66</v>
          </cell>
        </row>
        <row r="7">
          <cell r="B7" t="str">
            <v>35.24</v>
          </cell>
          <cell r="C7" t="str">
            <v>二尖瓣机械瓣膜置换术</v>
          </cell>
          <cell r="E7">
            <v>1.75771971496437</v>
          </cell>
          <cell r="H7">
            <v>35.24</v>
          </cell>
          <cell r="I7" t="str">
            <v>二尖瓣机械瓣膜置换术</v>
          </cell>
          <cell r="K7">
            <v>1.8056749785038699</v>
          </cell>
          <cell r="N7">
            <v>35.24</v>
          </cell>
          <cell r="O7" t="str">
            <v>二尖瓣机械瓣膜置换术</v>
          </cell>
          <cell r="Q7">
            <v>0.72</v>
          </cell>
        </row>
        <row r="8">
          <cell r="B8" t="str">
            <v>00.66</v>
          </cell>
          <cell r="C8" t="str">
            <v>冠状动脉血管腔内成形术(PTCA)</v>
          </cell>
          <cell r="E8">
            <v>1.33016627078385</v>
          </cell>
          <cell r="H8" t="str">
            <v>38.70</v>
          </cell>
          <cell r="I8" t="str">
            <v>下腔静脉滤器植入术</v>
          </cell>
          <cell r="K8">
            <v>1.20378331900258</v>
          </cell>
          <cell r="N8">
            <v>39.729999999999997</v>
          </cell>
          <cell r="O8" t="str">
            <v>胸主动脉覆膜支架腔内隔绝术</v>
          </cell>
          <cell r="Q8">
            <v>0.52</v>
          </cell>
        </row>
      </sheetData>
      <sheetData sheetId="1">
        <row r="4">
          <cell r="B4" t="str">
            <v>36.07</v>
          </cell>
          <cell r="C4" t="str">
            <v>药物洗脱冠状动脉支架植入术</v>
          </cell>
          <cell r="E4">
            <v>86.641427798810199</v>
          </cell>
          <cell r="H4">
            <v>36.07</v>
          </cell>
          <cell r="I4" t="str">
            <v>药物洗脱冠状动脉支架植入术</v>
          </cell>
          <cell r="K4">
            <v>87.262079062957497</v>
          </cell>
          <cell r="N4">
            <v>36.07</v>
          </cell>
          <cell r="O4" t="str">
            <v>药物洗脱冠状动脉支架置入</v>
          </cell>
          <cell r="Q4">
            <v>73.509403761504601</v>
          </cell>
        </row>
        <row r="5">
          <cell r="B5" t="str">
            <v>37.34</v>
          </cell>
          <cell r="C5" t="str">
            <v>心脏病损腔内消融术</v>
          </cell>
          <cell r="E5">
            <v>8.7614926987560793</v>
          </cell>
          <cell r="H5">
            <v>37.340000000000003</v>
          </cell>
          <cell r="I5" t="str">
            <v>心脏病损腔内消融术</v>
          </cell>
          <cell r="K5">
            <v>6.7349926793557797</v>
          </cell>
          <cell r="N5">
            <v>36.06</v>
          </cell>
          <cell r="O5" t="str">
            <v>冠状动脉药物涂层支架置入术</v>
          </cell>
          <cell r="Q5">
            <v>8.3633453381352503</v>
          </cell>
        </row>
        <row r="6">
          <cell r="B6" t="str">
            <v>00.66</v>
          </cell>
          <cell r="C6" t="str">
            <v>冠状动脉血管腔内成形术(PTCA)</v>
          </cell>
          <cell r="E6">
            <v>1.51433207138994</v>
          </cell>
          <cell r="H6" t="str">
            <v>38.70</v>
          </cell>
          <cell r="I6" t="str">
            <v>下腔静脉滤器植入术</v>
          </cell>
          <cell r="K6">
            <v>1.36652025378233</v>
          </cell>
          <cell r="N6">
            <v>37.340000000000003</v>
          </cell>
          <cell r="O6" t="str">
            <v>经导管心脏射频消融术</v>
          </cell>
          <cell r="Q6">
            <v>8.1632653061224492</v>
          </cell>
        </row>
        <row r="7">
          <cell r="B7" t="str">
            <v>35.52</v>
          </cell>
          <cell r="C7" t="str">
            <v>心房间隔缺损封堵术(闭合法)</v>
          </cell>
          <cell r="E7">
            <v>0.48674959437533799</v>
          </cell>
          <cell r="H7" t="str">
            <v>00.66</v>
          </cell>
          <cell r="I7" t="str">
            <v>冠状动脉血管腔内成形术(PTCA)</v>
          </cell>
          <cell r="K7">
            <v>1.1713030746705699</v>
          </cell>
          <cell r="N7" t="str">
            <v>38.7x</v>
          </cell>
          <cell r="O7" t="str">
            <v>下腔静脉滤器置入术</v>
          </cell>
          <cell r="Q7">
            <v>2.2008803521408602</v>
          </cell>
        </row>
        <row r="8">
          <cell r="B8" t="str">
            <v>39.50</v>
          </cell>
          <cell r="C8" t="str">
            <v>胸主动脉血管腔内成形术</v>
          </cell>
          <cell r="E8">
            <v>0.48674959437533799</v>
          </cell>
          <cell r="H8">
            <v>39.49</v>
          </cell>
          <cell r="I8" t="str">
            <v>下腔静脉植入物去除术</v>
          </cell>
          <cell r="K8">
            <v>0.78086871644704703</v>
          </cell>
          <cell r="N8" t="str">
            <v>00.66</v>
          </cell>
          <cell r="O8" t="str">
            <v>经皮冠状动脉腔内血管成形术[PTCA]</v>
          </cell>
          <cell r="Q8">
            <v>1.72068827531012</v>
          </cell>
        </row>
      </sheetData>
      <sheetData sheetId="2">
        <row r="4">
          <cell r="B4" t="str">
            <v>39.73</v>
          </cell>
          <cell r="C4" t="str">
            <v>胸主动脉移植物的血管腔内植入术</v>
          </cell>
          <cell r="E4">
            <v>20.703125</v>
          </cell>
          <cell r="H4">
            <v>39.729999999999997</v>
          </cell>
          <cell r="I4" t="str">
            <v>胸主动脉移植物的血管腔内植入术</v>
          </cell>
          <cell r="K4">
            <v>22.7436823104693</v>
          </cell>
          <cell r="N4">
            <v>35.24</v>
          </cell>
          <cell r="O4" t="str">
            <v>二尖瓣机械瓣膜置换术</v>
          </cell>
          <cell r="Q4">
            <v>25.5014326647564</v>
          </cell>
        </row>
        <row r="5">
          <cell r="B5" t="str">
            <v>35.24</v>
          </cell>
          <cell r="C5" t="str">
            <v>二尖瓣机械瓣膜置换术</v>
          </cell>
          <cell r="E5">
            <v>14.453125</v>
          </cell>
          <cell r="H5">
            <v>35.24</v>
          </cell>
          <cell r="I5" t="str">
            <v>二尖瓣机械瓣膜置换术</v>
          </cell>
          <cell r="K5">
            <v>15.162454873646199</v>
          </cell>
          <cell r="N5">
            <v>39.729999999999997</v>
          </cell>
          <cell r="O5" t="str">
            <v>胸主动脉覆膜支架腔内隔绝术</v>
          </cell>
          <cell r="Q5">
            <v>18.3381088825215</v>
          </cell>
        </row>
        <row r="6">
          <cell r="B6" t="str">
            <v>35.22</v>
          </cell>
          <cell r="C6" t="str">
            <v>主动脉瓣机械瓣膜置换术</v>
          </cell>
          <cell r="E6">
            <v>7.8125</v>
          </cell>
          <cell r="H6">
            <v>39.71</v>
          </cell>
          <cell r="I6" t="str">
            <v>腹主动脉瘤腔内修补术</v>
          </cell>
          <cell r="K6">
            <v>8.6642599277978292</v>
          </cell>
          <cell r="N6">
            <v>39.71</v>
          </cell>
          <cell r="O6" t="str">
            <v>腹主动脉覆膜支架腔内隔绝术</v>
          </cell>
          <cell r="Q6">
            <v>9.7421203438395398</v>
          </cell>
        </row>
        <row r="7">
          <cell r="B7" t="str">
            <v>39.71</v>
          </cell>
          <cell r="C7" t="str">
            <v>腹主动脉瘤腔内修补术</v>
          </cell>
          <cell r="E7">
            <v>6.640625</v>
          </cell>
          <cell r="H7">
            <v>35.22</v>
          </cell>
          <cell r="I7" t="str">
            <v>主动脉瓣机械瓣膜置换术</v>
          </cell>
          <cell r="K7">
            <v>6.1371841155234703</v>
          </cell>
          <cell r="N7">
            <v>35.22</v>
          </cell>
          <cell r="O7" t="str">
            <v>主动脉瓣机械瓣膜置换术</v>
          </cell>
          <cell r="Q7">
            <v>5.7306590257879702</v>
          </cell>
        </row>
        <row r="8">
          <cell r="B8" t="str">
            <v>39.50</v>
          </cell>
          <cell r="C8" t="str">
            <v>动脉血管腔内成形术</v>
          </cell>
          <cell r="E8">
            <v>5.078125</v>
          </cell>
          <cell r="H8">
            <v>35.119999999999997</v>
          </cell>
          <cell r="I8" t="str">
            <v>二尖瓣成形术，不伴置换，直视法</v>
          </cell>
          <cell r="K8">
            <v>4.3321299638989199</v>
          </cell>
          <cell r="N8">
            <v>35.51</v>
          </cell>
          <cell r="O8" t="str">
            <v>经胸房间隔缺损闭式封堵术</v>
          </cell>
          <cell r="Q8">
            <v>4.8710601719197699</v>
          </cell>
        </row>
      </sheetData>
      <sheetData sheetId="3">
        <row r="4">
          <cell r="B4" t="str">
            <v>79.3</v>
          </cell>
          <cell r="C4" t="str">
            <v>骨折切开复位内固定术</v>
          </cell>
          <cell r="E4">
            <v>21.210106382978701</v>
          </cell>
          <cell r="H4" t="str">
            <v>79.3</v>
          </cell>
          <cell r="I4" t="str">
            <v>骨折切开复位内固定术</v>
          </cell>
          <cell r="K4">
            <v>19.982174688057</v>
          </cell>
          <cell r="N4" t="str">
            <v>79.3</v>
          </cell>
          <cell r="O4" t="str">
            <v>骨折切开复位内固定术</v>
          </cell>
          <cell r="Q4">
            <v>18.764267234819702</v>
          </cell>
        </row>
        <row r="5">
          <cell r="B5" t="str">
            <v>78.6</v>
          </cell>
          <cell r="C5" t="str">
            <v>骨内固定装置去除术</v>
          </cell>
          <cell r="E5">
            <v>24.456163480553698</v>
          </cell>
          <cell r="H5" t="str">
            <v>78.6</v>
          </cell>
          <cell r="I5" t="str">
            <v>骨内固定装置去除术</v>
          </cell>
          <cell r="K5">
            <v>12.976827094474199</v>
          </cell>
          <cell r="N5" t="str">
            <v>78.6</v>
          </cell>
          <cell r="O5" t="str">
            <v>骨内固定装置去除术</v>
          </cell>
          <cell r="Q5">
            <v>13.4226145183382</v>
          </cell>
        </row>
        <row r="6">
          <cell r="B6" t="str">
            <v>80.5</v>
          </cell>
          <cell r="C6" t="str">
            <v>腰椎间盘切除术(椎间盘髓核切除术)，后路法</v>
          </cell>
          <cell r="E6">
            <v>48.619957537155003</v>
          </cell>
          <cell r="H6" t="str">
            <v>80.5</v>
          </cell>
          <cell r="I6" t="str">
            <v>腰椎间盘切除术(椎间盘髓核切除术)，后路法</v>
          </cell>
          <cell r="K6">
            <v>11.319073083778999</v>
          </cell>
          <cell r="N6" t="str">
            <v>80.5</v>
          </cell>
          <cell r="O6" t="str">
            <v>腰椎间盘切除术(椎间盘髓核切除术)，后路法</v>
          </cell>
          <cell r="Q6">
            <v>10.5615583625019</v>
          </cell>
        </row>
        <row r="7">
          <cell r="B7" t="str">
            <v>81.5</v>
          </cell>
          <cell r="C7" t="str">
            <v>髋膝关节置换术，单侧，骨病型</v>
          </cell>
          <cell r="E7">
            <v>35.2453792224347</v>
          </cell>
          <cell r="H7" t="str">
            <v>81.5</v>
          </cell>
          <cell r="I7" t="str">
            <v>髋膝关节置换术，单侧，骨病型</v>
          </cell>
          <cell r="K7">
            <v>9.3226381461675594</v>
          </cell>
          <cell r="N7" t="str">
            <v>81.5</v>
          </cell>
          <cell r="O7" t="str">
            <v>髋膝关节置换术，单侧，骨病型</v>
          </cell>
          <cell r="Q7">
            <v>8.4918581646629097</v>
          </cell>
        </row>
        <row r="8">
          <cell r="B8" t="str">
            <v>81.6</v>
          </cell>
          <cell r="C8" t="str">
            <v>腰胸椎骨成形术(PVP)</v>
          </cell>
          <cell r="E8">
            <v>10.7706592386258</v>
          </cell>
          <cell r="H8" t="str">
            <v>81.6</v>
          </cell>
          <cell r="I8" t="str">
            <v>腰胸椎骨成形术(PVP)</v>
          </cell>
          <cell r="K8">
            <v>5.0267379679144399</v>
          </cell>
          <cell r="N8" t="str">
            <v>81.6</v>
          </cell>
          <cell r="O8" t="str">
            <v>腰胸椎骨成形术(PVP)</v>
          </cell>
          <cell r="Q8">
            <v>5.8286409983259801</v>
          </cell>
        </row>
      </sheetData>
      <sheetData sheetId="4">
        <row r="4">
          <cell r="B4" t="str">
            <v>80.5</v>
          </cell>
          <cell r="C4" t="str">
            <v>腰椎间盘切除术(椎间盘髓核切除术)，后路法</v>
          </cell>
          <cell r="E4">
            <v>48.478414720452903</v>
          </cell>
          <cell r="H4" t="str">
            <v>80.5</v>
          </cell>
          <cell r="I4" t="str">
            <v>腰椎间盘切除术(椎间盘髓核切除术)，后路法</v>
          </cell>
          <cell r="K4">
            <v>49.609375</v>
          </cell>
          <cell r="N4" t="str">
            <v>80.5</v>
          </cell>
          <cell r="O4" t="str">
            <v>腰椎间盘切除术(椎间盘髓核切除术)，后路法</v>
          </cell>
          <cell r="Q4">
            <v>45.742574257425701</v>
          </cell>
        </row>
        <row r="5">
          <cell r="B5" t="str">
            <v>81.6</v>
          </cell>
          <cell r="C5" t="str">
            <v>腰胸椎骨成形术(PVP)</v>
          </cell>
          <cell r="E5">
            <v>16.418966737438101</v>
          </cell>
          <cell r="H5" t="str">
            <v>81.6</v>
          </cell>
          <cell r="I5" t="str">
            <v>腰胸椎骨成形术(PVP)</v>
          </cell>
          <cell r="K5">
            <v>21.953125</v>
          </cell>
          <cell r="N5" t="str">
            <v>81.6</v>
          </cell>
          <cell r="O5" t="str">
            <v>腰胸椎骨成形术(PVP)</v>
          </cell>
          <cell r="Q5">
            <v>25.214521452145199</v>
          </cell>
        </row>
        <row r="6">
          <cell r="B6" t="str">
            <v>03.53</v>
          </cell>
          <cell r="C6" t="str">
            <v>脊椎骨折复位术</v>
          </cell>
          <cell r="E6">
            <v>14.083510261854199</v>
          </cell>
          <cell r="H6" t="str">
            <v>03.53</v>
          </cell>
          <cell r="I6" t="str">
            <v>脊椎骨折复位术</v>
          </cell>
          <cell r="K6">
            <v>9.6875</v>
          </cell>
          <cell r="N6" t="str">
            <v>03.53</v>
          </cell>
          <cell r="O6" t="str">
            <v>脊椎骨折复位术</v>
          </cell>
          <cell r="Q6">
            <v>8.8448844884488391</v>
          </cell>
        </row>
        <row r="7">
          <cell r="B7" t="str">
            <v>80.4</v>
          </cell>
          <cell r="C7" t="str">
            <v>脊柱韧带松解术</v>
          </cell>
          <cell r="E7">
            <v>6.7232837933474903</v>
          </cell>
          <cell r="H7" t="str">
            <v>78.6</v>
          </cell>
          <cell r="I7" t="str">
            <v>脊柱内固定装置去除术</v>
          </cell>
          <cell r="K7">
            <v>6.40625</v>
          </cell>
          <cell r="N7" t="str">
            <v>78.6</v>
          </cell>
          <cell r="O7" t="str">
            <v>脊柱内固定装置去除术</v>
          </cell>
          <cell r="Q7">
            <v>7.1947194719471899</v>
          </cell>
        </row>
        <row r="8">
          <cell r="B8" t="str">
            <v>78.6</v>
          </cell>
          <cell r="C8" t="str">
            <v>脊柱内固定装置去除术</v>
          </cell>
          <cell r="E8">
            <v>3.9631988676574701</v>
          </cell>
          <cell r="H8" t="str">
            <v>03.09</v>
          </cell>
          <cell r="I8" t="str">
            <v>颈椎单开门式椎板成形术，后路法</v>
          </cell>
          <cell r="K8">
            <v>3.59375</v>
          </cell>
          <cell r="N8" t="str">
            <v>79.8</v>
          </cell>
          <cell r="O8" t="str">
            <v>腰颈椎脱位切开复位内固定术</v>
          </cell>
          <cell r="Q8">
            <v>4.8184818481848204</v>
          </cell>
        </row>
      </sheetData>
      <sheetData sheetId="5">
        <row r="4">
          <cell r="B4" t="str">
            <v>79.3</v>
          </cell>
          <cell r="C4" t="str">
            <v>骨折切开复位内固定术</v>
          </cell>
          <cell r="E4">
            <v>41.430454845089002</v>
          </cell>
          <cell r="H4" t="str">
            <v>79.3</v>
          </cell>
          <cell r="I4" t="str">
            <v>骨折切开复位内固定术</v>
          </cell>
          <cell r="K4">
            <v>37.280701754386001</v>
          </cell>
          <cell r="N4" t="str">
            <v>79.3</v>
          </cell>
          <cell r="O4" t="str">
            <v>骨折切开复位内固定术</v>
          </cell>
          <cell r="Q4">
            <v>36.481203007518801</v>
          </cell>
        </row>
        <row r="5">
          <cell r="B5" t="str">
            <v>78.6</v>
          </cell>
          <cell r="C5" t="str">
            <v>骨内固定装置去除术</v>
          </cell>
          <cell r="E5">
            <v>18.2597231377719</v>
          </cell>
          <cell r="H5" t="str">
            <v>78.6</v>
          </cell>
          <cell r="I5" t="str">
            <v>骨内固定装置去除术</v>
          </cell>
          <cell r="K5">
            <v>19.095816464237501</v>
          </cell>
          <cell r="N5" t="str">
            <v>78.6</v>
          </cell>
          <cell r="O5" t="str">
            <v>骨内固定装置去除术</v>
          </cell>
          <cell r="Q5">
            <v>19.518796992481199</v>
          </cell>
        </row>
        <row r="6">
          <cell r="B6" t="str">
            <v>79.1</v>
          </cell>
          <cell r="C6" t="str">
            <v>骨折闭合性复位内固定术</v>
          </cell>
          <cell r="E6">
            <v>5.2076466710613003</v>
          </cell>
          <cell r="H6" t="str">
            <v>79.1</v>
          </cell>
          <cell r="I6" t="str">
            <v>骨折闭合性复位内固定术</v>
          </cell>
          <cell r="K6">
            <v>6.5789473684210504</v>
          </cell>
          <cell r="N6" t="str">
            <v>79.1</v>
          </cell>
          <cell r="O6" t="str">
            <v>骨折闭合性复位内固定术</v>
          </cell>
          <cell r="Q6">
            <v>6.0150375939849603</v>
          </cell>
        </row>
        <row r="7">
          <cell r="B7" t="str">
            <v>86.7</v>
          </cell>
          <cell r="C7" t="str">
            <v>手游离皮瓣移植术</v>
          </cell>
          <cell r="E7">
            <v>4.4825313117996002</v>
          </cell>
          <cell r="H7" t="str">
            <v>86.7</v>
          </cell>
          <cell r="I7" t="str">
            <v>手游离皮瓣移植术</v>
          </cell>
          <cell r="K7">
            <v>5.70175438596491</v>
          </cell>
          <cell r="N7" t="str">
            <v>86.2</v>
          </cell>
          <cell r="O7" t="str">
            <v>伤口、感染或烧伤的切除性清创术</v>
          </cell>
          <cell r="Q7">
            <v>5.4736842105263204</v>
          </cell>
        </row>
        <row r="8">
          <cell r="B8" t="str">
            <v>82.4</v>
          </cell>
          <cell r="C8" t="str">
            <v>手部屈肌腱缝合术，Ⅰ期</v>
          </cell>
          <cell r="E8">
            <v>3.8562953197099499</v>
          </cell>
          <cell r="H8" t="str">
            <v>82.4</v>
          </cell>
          <cell r="I8" t="str">
            <v>手部屈肌腱缝合术，Ⅰ期</v>
          </cell>
          <cell r="K8">
            <v>3.9136302294197001</v>
          </cell>
          <cell r="N8" t="str">
            <v>86.7</v>
          </cell>
          <cell r="O8" t="str">
            <v>手游离皮瓣移植术</v>
          </cell>
          <cell r="Q8">
            <v>4.2406015037594003</v>
          </cell>
        </row>
      </sheetData>
      <sheetData sheetId="6">
        <row r="4">
          <cell r="B4" t="str">
            <v>81.5</v>
          </cell>
          <cell r="C4" t="str">
            <v>髋膝关节置换术，单侧，骨病型</v>
          </cell>
          <cell r="E4">
            <v>35.2453792224347</v>
          </cell>
          <cell r="H4" t="str">
            <v>81.5</v>
          </cell>
          <cell r="I4" t="str">
            <v>髋膝关节置换术，单侧，骨病型</v>
          </cell>
          <cell r="K4">
            <v>38.213762811127403</v>
          </cell>
          <cell r="N4" t="str">
            <v>81.5</v>
          </cell>
          <cell r="O4" t="str">
            <v>髋膝关节置换术，单侧，骨病型</v>
          </cell>
          <cell r="Q4">
            <v>32.120161756210301</v>
          </cell>
        </row>
        <row r="5">
          <cell r="B5" t="str">
            <v>78.6</v>
          </cell>
          <cell r="C5" t="str">
            <v>骨内固定装置去除术</v>
          </cell>
          <cell r="E5">
            <v>8.4130019120458908</v>
          </cell>
          <cell r="H5" t="str">
            <v>80.6</v>
          </cell>
          <cell r="I5" t="str">
            <v>膝外侧半月板修整术，经关节镜</v>
          </cell>
          <cell r="K5">
            <v>9.0043923865300108</v>
          </cell>
          <cell r="N5" t="str">
            <v>81.4</v>
          </cell>
          <cell r="O5" t="str">
            <v>前交叉韧带修补术，伴自体肌腱植入，经关节镜</v>
          </cell>
          <cell r="Q5">
            <v>13.2871172732525</v>
          </cell>
        </row>
        <row r="6">
          <cell r="B6" t="str">
            <v>83.3</v>
          </cell>
          <cell r="C6" t="str">
            <v>腘窝囊肿切除术(贝克氏囊肿切除术)</v>
          </cell>
          <cell r="E6">
            <v>7.39324410452517</v>
          </cell>
          <cell r="H6" t="str">
            <v>78.6</v>
          </cell>
          <cell r="I6" t="str">
            <v>骨内固定装置去除术</v>
          </cell>
          <cell r="K6">
            <v>5.8565153733528597</v>
          </cell>
          <cell r="N6" t="str">
            <v>78.6</v>
          </cell>
          <cell r="O6" t="str">
            <v>骨内固定装置去除术</v>
          </cell>
          <cell r="Q6">
            <v>7.1634893125361101</v>
          </cell>
        </row>
        <row r="7">
          <cell r="B7" t="str">
            <v>80.6</v>
          </cell>
          <cell r="C7" t="str">
            <v>膝外侧半月板修整术，经关节镜</v>
          </cell>
          <cell r="E7">
            <v>6.9471000637348599</v>
          </cell>
          <cell r="H7" t="str">
            <v>83.3</v>
          </cell>
          <cell r="I7" t="str">
            <v>腘窝囊肿切除术(贝克氏囊肿切除术)</v>
          </cell>
          <cell r="K7">
            <v>5.8565153733528597</v>
          </cell>
          <cell r="N7" t="str">
            <v>83.3</v>
          </cell>
          <cell r="O7" t="str">
            <v>腘窝囊肿切除术(贝克氏囊肿切除术)</v>
          </cell>
          <cell r="Q7">
            <v>6.0080878105141498</v>
          </cell>
        </row>
        <row r="8">
          <cell r="B8" t="str">
            <v>81.4</v>
          </cell>
          <cell r="C8" t="str">
            <v>前交叉韧带修补术，伴自体肌腱植入，经关节镜</v>
          </cell>
          <cell r="E8">
            <v>5.9910771191841903</v>
          </cell>
          <cell r="H8" t="str">
            <v>81.4</v>
          </cell>
          <cell r="I8" t="str">
            <v>前交叉韧带修补术，伴自体肌腱植入，经关节镜</v>
          </cell>
          <cell r="K8">
            <v>4.9780380673499298</v>
          </cell>
          <cell r="N8" t="str">
            <v>80.7</v>
          </cell>
          <cell r="O8" t="str">
            <v>关节镜膝关节滑膜切除术</v>
          </cell>
          <cell r="Q8">
            <v>4.21721548238013</v>
          </cell>
        </row>
      </sheetData>
      <sheetData sheetId="7">
        <row r="4">
          <cell r="B4">
            <v>68.41</v>
          </cell>
          <cell r="C4" t="str">
            <v>子宫全切除术，经腹腔镜</v>
          </cell>
          <cell r="E4">
            <v>25.023212627669501</v>
          </cell>
          <cell r="H4">
            <v>68.41</v>
          </cell>
          <cell r="I4" t="str">
            <v>子宫全切除术，经腹腔镜</v>
          </cell>
          <cell r="K4">
            <v>26.255380200860799</v>
          </cell>
          <cell r="N4">
            <v>68.41</v>
          </cell>
          <cell r="O4" t="str">
            <v>腹腔镜经腹全子宫切除术</v>
          </cell>
          <cell r="Q4">
            <v>27.165532879818599</v>
          </cell>
        </row>
        <row r="5">
          <cell r="B5">
            <v>67.319999999999993</v>
          </cell>
          <cell r="C5" t="str">
            <v>子宫颈锥形电切除(LeepLLETZ)</v>
          </cell>
          <cell r="E5">
            <v>16.480965645310999</v>
          </cell>
          <cell r="H5">
            <v>68.290000000000006</v>
          </cell>
          <cell r="I5" t="str">
            <v>子宫病损切除术，经腹腔镜</v>
          </cell>
          <cell r="K5">
            <v>14.4428503108561</v>
          </cell>
          <cell r="N5">
            <v>68.290000000000006</v>
          </cell>
          <cell r="O5" t="str">
            <v>腹腔镜子宫病损切除术</v>
          </cell>
          <cell r="Q5">
            <v>14.6938775510204</v>
          </cell>
        </row>
        <row r="6">
          <cell r="B6">
            <v>68.290000000000006</v>
          </cell>
          <cell r="C6" t="str">
            <v>子宫病损切除术，经腹腔镜</v>
          </cell>
          <cell r="E6">
            <v>12.3955431754875</v>
          </cell>
          <cell r="H6">
            <v>67.319999999999993</v>
          </cell>
          <cell r="I6" t="str">
            <v>子宫颈锥形电切除(LpLLETZ)</v>
          </cell>
          <cell r="K6">
            <v>12.864658058345301</v>
          </cell>
          <cell r="N6">
            <v>67.319999999999993</v>
          </cell>
          <cell r="O6" t="str">
            <v>子宫颈锥形电切术</v>
          </cell>
          <cell r="Q6">
            <v>12.0181405895692</v>
          </cell>
        </row>
        <row r="7">
          <cell r="B7">
            <v>66.62</v>
          </cell>
          <cell r="C7" t="str">
            <v>输卵管妊娠清除伴输卵管切除术，经腹腔镜</v>
          </cell>
          <cell r="E7">
            <v>9.0993500464252595</v>
          </cell>
          <cell r="H7">
            <v>66.62</v>
          </cell>
          <cell r="I7" t="str">
            <v>输卵管妊娠清除伴输卵管切除术，经腹腔镜</v>
          </cell>
          <cell r="K7">
            <v>7.3648971783835497</v>
          </cell>
          <cell r="N7">
            <v>65.25</v>
          </cell>
          <cell r="O7" t="str">
            <v>腹腔镜卵巢病损切除术</v>
          </cell>
          <cell r="Q7">
            <v>8.6621315192743804</v>
          </cell>
        </row>
        <row r="8">
          <cell r="B8">
            <v>65.25</v>
          </cell>
          <cell r="C8" t="str">
            <v>卵巢病损切除术，经腹腔镜</v>
          </cell>
          <cell r="E8">
            <v>7.3351903435468904</v>
          </cell>
          <cell r="H8">
            <v>65.25</v>
          </cell>
          <cell r="I8" t="str">
            <v>卵巢病损切除术，经腹腔镜</v>
          </cell>
          <cell r="K8">
            <v>6.4562410329985704</v>
          </cell>
          <cell r="N8">
            <v>66.62</v>
          </cell>
          <cell r="O8" t="str">
            <v>腹腔镜输卵管切除伴输卵管妊娠去除术</v>
          </cell>
          <cell r="Q8">
            <v>5.9863945578231297</v>
          </cell>
        </row>
      </sheetData>
      <sheetData sheetId="8">
        <row r="4">
          <cell r="B4">
            <v>85.22</v>
          </cell>
          <cell r="C4" t="str">
            <v>乳腺区段切除术</v>
          </cell>
          <cell r="E4">
            <v>35.363964894166202</v>
          </cell>
          <cell r="H4">
            <v>85.22</v>
          </cell>
          <cell r="I4" t="str">
            <v>乳腺区段切除术</v>
          </cell>
          <cell r="K4">
            <v>34.098851722416399</v>
          </cell>
          <cell r="N4">
            <v>85.21</v>
          </cell>
          <cell r="O4" t="str">
            <v>乳房腺体区段切除术</v>
          </cell>
          <cell r="Q4">
            <v>41.44</v>
          </cell>
        </row>
        <row r="5">
          <cell r="B5">
            <v>85.21</v>
          </cell>
          <cell r="C5" t="str">
            <v>乳腺病损微创旋切术(麦默通)</v>
          </cell>
          <cell r="E5">
            <v>10.4284976768198</v>
          </cell>
          <cell r="H5" t="str">
            <v>06.2</v>
          </cell>
          <cell r="I5" t="str">
            <v>单侧甲状腺全切除，伴另侧次全(大部份)切除术</v>
          </cell>
          <cell r="K5">
            <v>11.6824762855716</v>
          </cell>
          <cell r="N5" t="str">
            <v>06.2x</v>
          </cell>
          <cell r="O5" t="str">
            <v>单侧甲状腺切除伴甲状腺峡部切除术</v>
          </cell>
          <cell r="Q5">
            <v>18.399999999999999</v>
          </cell>
        </row>
        <row r="6">
          <cell r="B6">
            <v>85.43</v>
          </cell>
          <cell r="C6" t="str">
            <v>乳腺改良根治术，单侧</v>
          </cell>
          <cell r="E6">
            <v>7.3825503355704702</v>
          </cell>
          <cell r="H6">
            <v>85.21</v>
          </cell>
          <cell r="I6" t="str">
            <v>乳腺病损微创旋切术(麦默通)</v>
          </cell>
          <cell r="K6">
            <v>8.7368946580129805</v>
          </cell>
          <cell r="N6">
            <v>85.43</v>
          </cell>
          <cell r="O6" t="str">
            <v>单侧乳腺改良根治术</v>
          </cell>
          <cell r="Q6">
            <v>12.28</v>
          </cell>
        </row>
        <row r="7">
          <cell r="B7" t="str">
            <v>06.2</v>
          </cell>
          <cell r="C7" t="str">
            <v>单侧甲状腺全切除，伴另侧次全(大部份)切除术</v>
          </cell>
          <cell r="E7">
            <v>12.700051626226101</v>
          </cell>
          <cell r="H7">
            <v>85.43</v>
          </cell>
          <cell r="I7" t="str">
            <v>乳腺改良根治术，单侧</v>
          </cell>
          <cell r="K7">
            <v>8.1377933100349509</v>
          </cell>
          <cell r="N7" t="str">
            <v>06.4x</v>
          </cell>
          <cell r="O7" t="str">
            <v>甲状腺全部切除术</v>
          </cell>
          <cell r="Q7">
            <v>7.56</v>
          </cell>
        </row>
        <row r="8">
          <cell r="B8">
            <v>85.41</v>
          </cell>
          <cell r="C8" t="str">
            <v>乳房单纯切除术，单侧</v>
          </cell>
          <cell r="E8">
            <v>4.0268456375838904</v>
          </cell>
          <cell r="H8" t="str">
            <v>06.4</v>
          </cell>
          <cell r="I8" t="str">
            <v>双侧甲状腺全部切除术</v>
          </cell>
          <cell r="K8">
            <v>5.64153769345981</v>
          </cell>
          <cell r="N8">
            <v>86.07</v>
          </cell>
          <cell r="O8" t="str">
            <v>静脉输液港植入术</v>
          </cell>
          <cell r="Q8">
            <v>3.92</v>
          </cell>
        </row>
      </sheetData>
      <sheetData sheetId="9">
        <row r="4">
          <cell r="B4" t="str">
            <v>47.01</v>
          </cell>
          <cell r="C4" t="str">
            <v>阑尾切除术，经腹腔镜</v>
          </cell>
          <cell r="E4">
            <v>14.0452393477117</v>
          </cell>
          <cell r="H4">
            <v>47.01</v>
          </cell>
          <cell r="I4" t="str">
            <v>阑尾切除术，经腹腔镜</v>
          </cell>
          <cell r="K4">
            <v>13.855421686747</v>
          </cell>
          <cell r="N4">
            <v>47.01</v>
          </cell>
          <cell r="O4" t="str">
            <v>腹腔镜下阑尾切除术</v>
          </cell>
          <cell r="Q4">
            <v>13.4520276953511</v>
          </cell>
        </row>
        <row r="5">
          <cell r="B5" t="str">
            <v>53.04</v>
          </cell>
          <cell r="C5" t="str">
            <v>腹股沟斜疝补片修补术，单侧</v>
          </cell>
          <cell r="E5">
            <v>13.361388742767</v>
          </cell>
          <cell r="H5">
            <v>53.04</v>
          </cell>
          <cell r="I5" t="str">
            <v>腹股沟斜疝补片修补术，单侧</v>
          </cell>
          <cell r="K5">
            <v>7.8313253012048198</v>
          </cell>
          <cell r="N5">
            <v>38.590000000000003</v>
          </cell>
          <cell r="O5" t="str">
            <v>大隐静脉主干激光闭合术</v>
          </cell>
          <cell r="Q5">
            <v>7.6162215628091001</v>
          </cell>
        </row>
        <row r="6">
          <cell r="B6" t="str">
            <v>48.63</v>
          </cell>
          <cell r="C6" t="str">
            <v>乙状结肠直肠切除术伴结肠吻合术，经腹腔镜（腹腔镜下Dixon)</v>
          </cell>
          <cell r="E6">
            <v>7.5749605470804804</v>
          </cell>
          <cell r="H6">
            <v>17.12</v>
          </cell>
          <cell r="I6" t="str">
            <v>腹股沟斜疝补片修补术，单侧，经腹腔镜</v>
          </cell>
          <cell r="K6">
            <v>6.0240963855421699</v>
          </cell>
          <cell r="N6" t="str">
            <v>43.7x</v>
          </cell>
          <cell r="O6" t="str">
            <v>腹腔镜胃大部切除伴胃空肠吻合术</v>
          </cell>
          <cell r="Q6">
            <v>7.0722057368941602</v>
          </cell>
        </row>
        <row r="7">
          <cell r="B7" t="str">
            <v>43.70</v>
          </cell>
          <cell r="C7" t="str">
            <v>胃远端切除术，伴胃空肠吻合术(毕Ⅱ式)</v>
          </cell>
          <cell r="E7">
            <v>6.4702788006312497</v>
          </cell>
          <cell r="H7">
            <v>48.63</v>
          </cell>
          <cell r="I7" t="str">
            <v>乙状结肠直肠切除术伴结肠吻合术，经腹腔镜（腹腔镜下Dixon)</v>
          </cell>
          <cell r="K7">
            <v>9.9671412924425002</v>
          </cell>
          <cell r="N7">
            <v>53.04</v>
          </cell>
          <cell r="O7" t="str">
            <v>单侧腹股沟斜疝无张力修补术</v>
          </cell>
          <cell r="Q7">
            <v>6.7260138476755698</v>
          </cell>
        </row>
        <row r="8">
          <cell r="B8" t="str">
            <v>44.42</v>
          </cell>
          <cell r="C8" t="str">
            <v>十二指肠溃疡修补术</v>
          </cell>
          <cell r="E8">
            <v>4.2083114150447098</v>
          </cell>
          <cell r="H8">
            <v>54.59</v>
          </cell>
          <cell r="I8" t="str">
            <v>肠粘连松解术</v>
          </cell>
          <cell r="K8">
            <v>4.6002190580503797</v>
          </cell>
          <cell r="N8">
            <v>48.63</v>
          </cell>
          <cell r="O8" t="str">
            <v>腹腔镜下直肠前切除术</v>
          </cell>
          <cell r="Q8">
            <v>5.2423343224530203</v>
          </cell>
        </row>
      </sheetData>
      <sheetData sheetId="10">
        <row r="4">
          <cell r="B4">
            <v>32.409999999999997</v>
          </cell>
          <cell r="C4" t="str">
            <v>肺叶切除术，经胸腔镜</v>
          </cell>
          <cell r="E4">
            <v>32.605729877216902</v>
          </cell>
          <cell r="H4">
            <v>32.409999999999997</v>
          </cell>
          <cell r="I4" t="str">
            <v>肺叶切除术，经单孔胸腔镜</v>
          </cell>
          <cell r="K4">
            <v>27.0025839793282</v>
          </cell>
          <cell r="N4">
            <v>32.200000000000003</v>
          </cell>
          <cell r="O4" t="str">
            <v>胸腔镜下肺楔形切除术</v>
          </cell>
          <cell r="Q4">
            <v>31.117533718689799</v>
          </cell>
        </row>
        <row r="5">
          <cell r="B5" t="str">
            <v>32.2</v>
          </cell>
          <cell r="C5" t="str">
            <v>肺部分切除术（含肺楔形切除术），经胸腔镜</v>
          </cell>
          <cell r="E5">
            <v>27.012278308321999</v>
          </cell>
          <cell r="H5" t="str">
            <v>32.20</v>
          </cell>
          <cell r="I5" t="str">
            <v>肺大泡切除术，经胸腔镜</v>
          </cell>
          <cell r="K5">
            <v>16.020671834625301</v>
          </cell>
          <cell r="N5">
            <v>32.409999999999997</v>
          </cell>
          <cell r="O5" t="str">
            <v>胸腔镜下肺叶切除术</v>
          </cell>
          <cell r="Q5">
            <v>28.323699421965301</v>
          </cell>
        </row>
        <row r="6">
          <cell r="B6" t="str">
            <v>34.3</v>
          </cell>
          <cell r="C6" t="str">
            <v>纵隔病损切除术，经胸腔镜</v>
          </cell>
          <cell r="E6">
            <v>4.6384720327421496</v>
          </cell>
          <cell r="H6" t="str">
            <v>34.30</v>
          </cell>
          <cell r="I6" t="str">
            <v>纵隔病损切除术，经胸腔镜</v>
          </cell>
          <cell r="K6">
            <v>6.07235142118863</v>
          </cell>
          <cell r="N6">
            <v>32.299999999999997</v>
          </cell>
          <cell r="O6" t="str">
            <v>胸腔镜肺叶节段切除术</v>
          </cell>
          <cell r="Q6">
            <v>6.4547206165703299</v>
          </cell>
        </row>
        <row r="7">
          <cell r="B7">
            <v>42.42</v>
          </cell>
          <cell r="C7" t="str">
            <v>食管全切除术，经颈+胸腔镜+腹腔镜</v>
          </cell>
          <cell r="E7">
            <v>5.0477489768076396</v>
          </cell>
          <cell r="H7">
            <v>42.42</v>
          </cell>
          <cell r="I7" t="str">
            <v>食管全切除术，经颈+胸腔镜+腹腔镜</v>
          </cell>
          <cell r="K7">
            <v>4.7803617571059398</v>
          </cell>
          <cell r="N7" t="str">
            <v>34.3x</v>
          </cell>
          <cell r="O7" t="str">
            <v>胸腔镜下纵隔病损切除术</v>
          </cell>
          <cell r="Q7">
            <v>5.6840077071290898</v>
          </cell>
        </row>
        <row r="8">
          <cell r="B8">
            <v>34.51</v>
          </cell>
          <cell r="C8" t="str">
            <v>胸膜剥脱术，经胸腔镜</v>
          </cell>
          <cell r="E8">
            <v>2.8649386084583899</v>
          </cell>
          <cell r="H8" t="str">
            <v>05.0</v>
          </cell>
          <cell r="I8" t="str">
            <v>胸交感神经切断术，经胸腔镜</v>
          </cell>
          <cell r="K8">
            <v>2.9715762273901798</v>
          </cell>
          <cell r="N8">
            <v>42.41</v>
          </cell>
          <cell r="O8" t="str">
            <v>颈胸腹三切口食管部分切除术</v>
          </cell>
          <cell r="Q8">
            <v>3.1791907514450899</v>
          </cell>
        </row>
      </sheetData>
      <sheetData sheetId="11">
        <row r="4">
          <cell r="B4" t="str">
            <v>39.75</v>
          </cell>
          <cell r="C4" t="str">
            <v>头颈部血管腔内裸弹簧圈栓塞术</v>
          </cell>
          <cell r="E4">
            <v>12.588832487309601</v>
          </cell>
          <cell r="H4">
            <v>39.75</v>
          </cell>
          <cell r="I4" t="str">
            <v>头颈部血管腔内裸弹簧圈栓塞术</v>
          </cell>
          <cell r="K4">
            <v>14.483493077742301</v>
          </cell>
          <cell r="N4" t="str">
            <v>01.39</v>
          </cell>
          <cell r="O4" t="str">
            <v>脑内血肿清除术</v>
          </cell>
          <cell r="Q4">
            <v>12.6775956284153</v>
          </cell>
        </row>
        <row r="5">
          <cell r="B5" t="str">
            <v>01.39</v>
          </cell>
          <cell r="C5" t="str">
            <v>脑血肿清除术</v>
          </cell>
          <cell r="E5">
            <v>11.6751269035533</v>
          </cell>
          <cell r="H5" t="str">
            <v>01.39</v>
          </cell>
          <cell r="I5" t="str">
            <v>脑血肿清除术</v>
          </cell>
          <cell r="K5">
            <v>12.247071352502701</v>
          </cell>
          <cell r="N5" t="str">
            <v>01.31</v>
          </cell>
          <cell r="O5" t="str">
            <v>脑膜切开伴硬脑膜下腔血肿清除术</v>
          </cell>
          <cell r="Q5">
            <v>9.7267759562841505</v>
          </cell>
        </row>
        <row r="6">
          <cell r="B6" t="str">
            <v>01.31</v>
          </cell>
          <cell r="C6" t="str">
            <v>硬脑膜下血肿清除术</v>
          </cell>
          <cell r="E6">
            <v>10.9644670050761</v>
          </cell>
          <cell r="H6">
            <v>86.59</v>
          </cell>
          <cell r="I6" t="str">
            <v>皮肤裂伤清创缝合术(除外胸壁、腹壁）</v>
          </cell>
          <cell r="K6">
            <v>11.182108626198101</v>
          </cell>
          <cell r="N6">
            <v>86.59</v>
          </cell>
          <cell r="O6" t="str">
            <v>头皮缝合术</v>
          </cell>
          <cell r="Q6">
            <v>9.3989071038251399</v>
          </cell>
        </row>
        <row r="7">
          <cell r="B7" t="str">
            <v>86.59</v>
          </cell>
          <cell r="C7" t="str">
            <v>皮肤裂伤清创缝合术(除外胸壁、腹壁）</v>
          </cell>
          <cell r="E7">
            <v>9.5431472081218303</v>
          </cell>
          <cell r="H7" t="str">
            <v>01.59</v>
          </cell>
          <cell r="I7" t="str">
            <v>脑病损切除术</v>
          </cell>
          <cell r="K7">
            <v>7.3482428115016001</v>
          </cell>
          <cell r="N7" t="str">
            <v>01.59</v>
          </cell>
          <cell r="O7" t="str">
            <v>脑病损切除术</v>
          </cell>
          <cell r="Q7">
            <v>8.4153005464480906</v>
          </cell>
        </row>
        <row r="8">
          <cell r="B8" t="str">
            <v>01.59</v>
          </cell>
          <cell r="C8" t="str">
            <v>脑病损切除术</v>
          </cell>
          <cell r="E8">
            <v>6.1928934010152297</v>
          </cell>
          <cell r="H8" t="str">
            <v>86.30</v>
          </cell>
          <cell r="I8" t="str">
            <v>头皮病损切除术(伴松解）</v>
          </cell>
          <cell r="K8">
            <v>5.64430244941427</v>
          </cell>
          <cell r="N8">
            <v>39.72</v>
          </cell>
          <cell r="O8" t="str">
            <v>经导管颅内动脉瘤弹簧圈栓塞术</v>
          </cell>
          <cell r="Q8">
            <v>6.7759562841529997</v>
          </cell>
        </row>
      </sheetData>
      <sheetData sheetId="12">
        <row r="4">
          <cell r="B4" t="str">
            <v>51.23</v>
          </cell>
          <cell r="C4" t="str">
            <v>胆囊切除术，经腹腔镜</v>
          </cell>
          <cell r="E4">
            <v>31.4384151593454</v>
          </cell>
          <cell r="H4">
            <v>51.23</v>
          </cell>
          <cell r="I4" t="str">
            <v>胆囊切除术，经腹腔镜</v>
          </cell>
          <cell r="K4">
            <v>28.463855421686699</v>
          </cell>
          <cell r="N4">
            <v>51.23</v>
          </cell>
          <cell r="O4" t="str">
            <v>腹腔镜下胆囊切除术</v>
          </cell>
          <cell r="Q4">
            <v>30.083144368858701</v>
          </cell>
        </row>
        <row r="5">
          <cell r="B5" t="str">
            <v>39.79</v>
          </cell>
          <cell r="C5" t="str">
            <v>肝动脉腔内栓塞术</v>
          </cell>
          <cell r="E5">
            <v>21.016365202411698</v>
          </cell>
          <cell r="H5">
            <v>39.79</v>
          </cell>
          <cell r="I5" t="str">
            <v>肝动脉腔内栓塞术</v>
          </cell>
          <cell r="K5">
            <v>22.891566265060199</v>
          </cell>
          <cell r="N5">
            <v>39.79</v>
          </cell>
          <cell r="O5" t="str">
            <v>经导管肝动脉栓塞术</v>
          </cell>
          <cell r="Q5">
            <v>22.0710506424792</v>
          </cell>
        </row>
        <row r="6">
          <cell r="B6" t="str">
            <v>50.30</v>
          </cell>
          <cell r="C6" t="str">
            <v>肝叶切除术（肝段切除术）</v>
          </cell>
          <cell r="E6">
            <v>13.178294573643401</v>
          </cell>
          <cell r="H6">
            <v>51.88</v>
          </cell>
          <cell r="I6" t="str">
            <v>胆总管切开取石伴T管引流术，经腹腔镜</v>
          </cell>
          <cell r="K6">
            <v>14.0060240963855</v>
          </cell>
          <cell r="N6" t="str">
            <v>50.3x</v>
          </cell>
          <cell r="O6" t="str">
            <v>腹腔镜下肝叶切除术</v>
          </cell>
          <cell r="Q6">
            <v>11.9425547996977</v>
          </cell>
        </row>
        <row r="7">
          <cell r="B7" t="str">
            <v>51.88</v>
          </cell>
          <cell r="C7" t="str">
            <v>胆总管切开取石伴T管引流术，经腹腔镜</v>
          </cell>
          <cell r="E7">
            <v>10.077519379845</v>
          </cell>
          <cell r="H7" t="str">
            <v>50.30</v>
          </cell>
          <cell r="I7" t="str">
            <v>肝叶切除术（肝段切除术）</v>
          </cell>
          <cell r="K7">
            <v>11.972891566265099</v>
          </cell>
          <cell r="N7">
            <v>51.88</v>
          </cell>
          <cell r="O7" t="str">
            <v>腹腔镜下胆总管切开取石术</v>
          </cell>
          <cell r="Q7">
            <v>11.4890400604686</v>
          </cell>
        </row>
        <row r="8">
          <cell r="B8" t="str">
            <v>51.41</v>
          </cell>
          <cell r="C8" t="str">
            <v>胆总管切开取石T管引流术</v>
          </cell>
          <cell r="E8">
            <v>3.7898363479758799</v>
          </cell>
          <cell r="H8">
            <v>51.41</v>
          </cell>
          <cell r="I8" t="str">
            <v>胆总管切开取石T管引流术</v>
          </cell>
          <cell r="K8">
            <v>3.0873493975903599</v>
          </cell>
          <cell r="N8">
            <v>50.22</v>
          </cell>
          <cell r="O8" t="str">
            <v>腹腔镜下肝部分切除术</v>
          </cell>
          <cell r="Q8">
            <v>5.3665910808768</v>
          </cell>
        </row>
      </sheetData>
      <sheetData sheetId="13">
        <row r="4">
          <cell r="B4">
            <v>55.04</v>
          </cell>
          <cell r="C4" t="str">
            <v>肾造口结石去除术，伴碎石，经肾镜(PCNL)</v>
          </cell>
          <cell r="E4">
            <v>40.962837837837803</v>
          </cell>
          <cell r="H4">
            <v>55.04</v>
          </cell>
          <cell r="I4" t="str">
            <v>肾造口结石去除术，伴碎石，经肾镜(PCNL)</v>
          </cell>
          <cell r="K4">
            <v>36.801112656467303</v>
          </cell>
          <cell r="N4">
            <v>55.04</v>
          </cell>
          <cell r="O4" t="str">
            <v>经皮肾镜气压弹道碎石术</v>
          </cell>
          <cell r="Q4">
            <v>29.784824462061199</v>
          </cell>
        </row>
        <row r="5">
          <cell r="B5" t="str">
            <v>56.00</v>
          </cell>
          <cell r="C5" t="str">
            <v>输尿管结石去除术，经输尿管镜</v>
          </cell>
          <cell r="E5">
            <v>20.270270270270299</v>
          </cell>
          <cell r="H5" t="str">
            <v>56.00</v>
          </cell>
          <cell r="I5" t="str">
            <v>输尿管结石去除术，经输尿管镜</v>
          </cell>
          <cell r="K5">
            <v>22.865090403338002</v>
          </cell>
          <cell r="N5" t="str">
            <v>56.0x</v>
          </cell>
          <cell r="O5" t="str">
            <v>经尿道输尿管镜输尿管气压弹道碎石取石术</v>
          </cell>
          <cell r="Q5">
            <v>27.361268403171</v>
          </cell>
        </row>
        <row r="6">
          <cell r="B6">
            <v>60.29</v>
          </cell>
          <cell r="C6" t="str">
            <v>前列腺（电）切除术，经尿道(TURP)</v>
          </cell>
          <cell r="E6">
            <v>8.7556306306306304</v>
          </cell>
          <cell r="H6">
            <v>60.29</v>
          </cell>
          <cell r="I6" t="str">
            <v>前列腺（电）切除术，经尿道(TURP)</v>
          </cell>
          <cell r="K6">
            <v>8.4283727399165507</v>
          </cell>
          <cell r="N6">
            <v>60.29</v>
          </cell>
          <cell r="O6" t="str">
            <v>经尿道前列腺等离子电切术</v>
          </cell>
          <cell r="Q6">
            <v>6.8629671574178897</v>
          </cell>
        </row>
        <row r="7">
          <cell r="B7" t="str">
            <v>57.00</v>
          </cell>
          <cell r="C7" t="str">
            <v>膀胱取石术，经膀胱镜</v>
          </cell>
          <cell r="E7">
            <v>4.3355855855855898</v>
          </cell>
          <cell r="H7">
            <v>55.02</v>
          </cell>
          <cell r="I7" t="str">
            <v>肾造瘘术，经肾镜</v>
          </cell>
          <cell r="K7">
            <v>3.4214186369958299</v>
          </cell>
          <cell r="N7">
            <v>55.03</v>
          </cell>
          <cell r="O7" t="str">
            <v>经皮肾造口术</v>
          </cell>
          <cell r="Q7">
            <v>4.4847112117780297</v>
          </cell>
        </row>
        <row r="8">
          <cell r="B8">
            <v>57.49</v>
          </cell>
          <cell r="C8" t="str">
            <v>膀胱病损电切术，经尿道(TURBT)</v>
          </cell>
          <cell r="E8">
            <v>3.0123873873873901</v>
          </cell>
          <cell r="H8">
            <v>57.49</v>
          </cell>
          <cell r="I8" t="str">
            <v>膀胱病损电切术，经尿道(TURBT)</v>
          </cell>
          <cell r="K8">
            <v>2.7816411682892901</v>
          </cell>
          <cell r="N8" t="str">
            <v>57.0x</v>
          </cell>
          <cell r="O8" t="str">
            <v>经尿道膀胱气压弹道碎石术</v>
          </cell>
          <cell r="Q8">
            <v>4.4394110985277502</v>
          </cell>
        </row>
      </sheetData>
      <sheetData sheetId="14"/>
      <sheetData sheetId="15"/>
      <sheetData sheetId="16"/>
      <sheetData sheetId="17"/>
      <sheetData sheetId="18"/>
      <sheetData sheetId="19">
        <row r="4">
          <cell r="B4" t="str">
            <v>00.63</v>
          </cell>
          <cell r="C4" t="str">
            <v>颈动脉腔内支架植入术</v>
          </cell>
          <cell r="E4">
            <v>46.25</v>
          </cell>
          <cell r="H4" t="str">
            <v>00.63</v>
          </cell>
          <cell r="I4" t="str">
            <v>颈动脉腔内支架植入术</v>
          </cell>
          <cell r="K4">
            <v>36.363636363636402</v>
          </cell>
          <cell r="N4">
            <v>39.74</v>
          </cell>
          <cell r="O4" t="str">
            <v>经皮颅内动脉取栓术</v>
          </cell>
          <cell r="Q4">
            <v>32.1033210332103</v>
          </cell>
        </row>
        <row r="5">
          <cell r="B5" t="str">
            <v>00.61</v>
          </cell>
          <cell r="C5" t="str">
            <v>动脉血管腔内成形术</v>
          </cell>
          <cell r="E5">
            <v>18.75</v>
          </cell>
          <cell r="H5" t="str">
            <v>00.65</v>
          </cell>
          <cell r="I5" t="str">
            <v>颅内血管腔内支架植入术</v>
          </cell>
          <cell r="K5">
            <v>24.793388429752099</v>
          </cell>
          <cell r="N5" t="str">
            <v>00.63</v>
          </cell>
          <cell r="O5" t="str">
            <v>脑保护伞下颈动脉支架置入术</v>
          </cell>
          <cell r="Q5">
            <v>29.520295202951999</v>
          </cell>
        </row>
        <row r="6">
          <cell r="B6" t="str">
            <v>00.65</v>
          </cell>
          <cell r="C6" t="str">
            <v>颅内血管腔内支架植入术</v>
          </cell>
          <cell r="E6">
            <v>10</v>
          </cell>
          <cell r="H6" t="str">
            <v>00.62</v>
          </cell>
          <cell r="I6" t="str">
            <v>颅内血管腔内成形术</v>
          </cell>
          <cell r="K6">
            <v>12.396694214876</v>
          </cell>
          <cell r="N6" t="str">
            <v>00.65</v>
          </cell>
          <cell r="O6" t="str">
            <v>经皮大脑中动脉支架置入术</v>
          </cell>
          <cell r="Q6">
            <v>9.5940959409594093</v>
          </cell>
        </row>
        <row r="7">
          <cell r="B7" t="str">
            <v>00.62</v>
          </cell>
          <cell r="C7" t="str">
            <v>颅内血管腔内成形术</v>
          </cell>
          <cell r="E7">
            <v>6.25</v>
          </cell>
          <cell r="H7" t="str">
            <v>00.61</v>
          </cell>
          <cell r="I7" t="str">
            <v>颈动脉血管腔内成形术</v>
          </cell>
          <cell r="K7">
            <v>10.7438016528926</v>
          </cell>
          <cell r="N7" t="str">
            <v>00.62</v>
          </cell>
          <cell r="O7" t="str">
            <v>经皮大脑中动脉球囊扩张成形术</v>
          </cell>
          <cell r="Q7">
            <v>9.2250922509225095</v>
          </cell>
        </row>
        <row r="8">
          <cell r="B8" t="str">
            <v>00.64</v>
          </cell>
          <cell r="C8" t="str">
            <v>入脑前动脉腔内支架植入术</v>
          </cell>
          <cell r="E8">
            <v>1.25</v>
          </cell>
          <cell r="H8" t="str">
            <v>39.50</v>
          </cell>
          <cell r="I8" t="str">
            <v>锁骨下动脉血管腔内成形术</v>
          </cell>
          <cell r="K8">
            <v>4.95867768595041</v>
          </cell>
          <cell r="N8" t="str">
            <v>00.64</v>
          </cell>
          <cell r="O8" t="str">
            <v>经皮基底动脉支架置入术</v>
          </cell>
          <cell r="Q8">
            <v>9.2250922509225095</v>
          </cell>
        </row>
      </sheetData>
      <sheetData sheetId="20"/>
      <sheetData sheetId="21">
        <row r="4">
          <cell r="B4" t="str">
            <v>手术码</v>
          </cell>
          <cell r="C4" t="str">
            <v>手术名称</v>
          </cell>
          <cell r="E4" t="str">
            <v>占手术比</v>
          </cell>
          <cell r="H4" t="str">
            <v>手术码</v>
          </cell>
          <cell r="I4" t="str">
            <v>手术名称</v>
          </cell>
          <cell r="K4" t="str">
            <v>占手术比</v>
          </cell>
          <cell r="N4" t="str">
            <v>手术码</v>
          </cell>
          <cell r="O4" t="str">
            <v>手术名称</v>
          </cell>
          <cell r="Q4" t="str">
            <v>占手术比</v>
          </cell>
        </row>
        <row r="5">
          <cell r="B5" t="str">
            <v>39.27</v>
          </cell>
          <cell r="C5" t="str">
            <v>上肢动静脉造瘘术，为肾透析</v>
          </cell>
          <cell r="E5">
            <v>92.819614711033296</v>
          </cell>
          <cell r="H5">
            <v>39.270000000000003</v>
          </cell>
          <cell r="I5" t="str">
            <v>上肢动静脉造瘘术，为肾透析</v>
          </cell>
          <cell r="K5">
            <v>95.847176079734197</v>
          </cell>
          <cell r="N5">
            <v>39.270000000000003</v>
          </cell>
          <cell r="O5" t="str">
            <v>为肾透析的动静脉造瘘术</v>
          </cell>
          <cell r="Q5">
            <v>94.720965309200594</v>
          </cell>
        </row>
        <row r="6">
          <cell r="B6" t="str">
            <v>39.43</v>
          </cell>
          <cell r="C6" t="str">
            <v>去除动静脉分流，为肾透析</v>
          </cell>
          <cell r="E6">
            <v>0.87565674255691806</v>
          </cell>
          <cell r="H6" t="str">
            <v>39.50</v>
          </cell>
          <cell r="I6" t="str">
            <v>上肢静脉血管腔内成形术</v>
          </cell>
          <cell r="K6">
            <v>1.16279069767442</v>
          </cell>
          <cell r="N6">
            <v>54.93</v>
          </cell>
          <cell r="O6" t="str">
            <v>腹膜透析腹腔镜法置管术</v>
          </cell>
          <cell r="Q6">
            <v>0.75414781297134204</v>
          </cell>
        </row>
        <row r="7">
          <cell r="B7" t="str">
            <v>39.49</v>
          </cell>
          <cell r="C7" t="str">
            <v>血液透析管调整术</v>
          </cell>
          <cell r="E7">
            <v>0.87565674255691806</v>
          </cell>
          <cell r="H7">
            <v>38.630000000000003</v>
          </cell>
          <cell r="I7" t="str">
            <v>上肢动脉瘤切除术，不伴吻合和置换</v>
          </cell>
          <cell r="K7">
            <v>0.66445182724252505</v>
          </cell>
          <cell r="N7">
            <v>39.29</v>
          </cell>
          <cell r="O7" t="str">
            <v>肱动脉-头静脉搭桥术</v>
          </cell>
          <cell r="Q7">
            <v>0.60331825037707398</v>
          </cell>
        </row>
        <row r="8">
          <cell r="B8" t="str">
            <v>39.42</v>
          </cell>
          <cell r="C8" t="str">
            <v>动静脉分流(瘘)修复术，用于肾透析</v>
          </cell>
          <cell r="E8">
            <v>0.52539404553415103</v>
          </cell>
          <cell r="H8">
            <v>86.04</v>
          </cell>
          <cell r="I8" t="str">
            <v>皮肤和皮下组织血肿清除术</v>
          </cell>
          <cell r="K8">
            <v>0.49833887043189401</v>
          </cell>
          <cell r="N8">
            <v>36.07</v>
          </cell>
          <cell r="O8" t="str">
            <v>药物洗脱冠状动脉支架置入</v>
          </cell>
          <cell r="Q8">
            <v>0.30165912518853699</v>
          </cell>
        </row>
      </sheetData>
      <sheetData sheetId="22"/>
      <sheetData sheetId="23"/>
      <sheetData sheetId="24">
        <row r="4">
          <cell r="B4">
            <v>13.41</v>
          </cell>
          <cell r="C4" t="str">
            <v>晶状体囊外摘除术，经乳化吸出(phaco)</v>
          </cell>
          <cell r="E4">
            <v>55.6649003280343</v>
          </cell>
          <cell r="H4">
            <v>13.41</v>
          </cell>
          <cell r="I4" t="str">
            <v>晶状体囊外摘除术，经乳化吸出(phaco)</v>
          </cell>
          <cell r="K4">
            <v>53.111176644057799</v>
          </cell>
          <cell r="N4">
            <v>13.41</v>
          </cell>
          <cell r="O4" t="str">
            <v>白内障超声乳化抽吸术</v>
          </cell>
          <cell r="Q4">
            <v>48.830959419510897</v>
          </cell>
        </row>
        <row r="5">
          <cell r="B5">
            <v>11.32</v>
          </cell>
          <cell r="C5" t="str">
            <v>翼状胬肉切除伴自体结膜移植术</v>
          </cell>
          <cell r="E5">
            <v>8.5036588443098697</v>
          </cell>
          <cell r="H5">
            <v>14.9</v>
          </cell>
          <cell r="I5" t="str">
            <v>视网膜前膜剥离术</v>
          </cell>
          <cell r="K5">
            <v>11.618991447950499</v>
          </cell>
          <cell r="N5">
            <v>14.74</v>
          </cell>
          <cell r="O5" t="str">
            <v>后入路玻璃体切割术</v>
          </cell>
          <cell r="Q5">
            <v>13.7866165009406</v>
          </cell>
        </row>
        <row r="6">
          <cell r="B6" t="str">
            <v>14.9</v>
          </cell>
          <cell r="C6" t="str">
            <v>视网膜前膜剥离术</v>
          </cell>
          <cell r="E6">
            <v>5.9046177138531402</v>
          </cell>
          <cell r="H6">
            <v>11.32</v>
          </cell>
          <cell r="I6" t="str">
            <v>翼状胬肉切除伴自体结膜移植术</v>
          </cell>
          <cell r="K6">
            <v>7.4609259805367101</v>
          </cell>
          <cell r="N6">
            <v>11.39</v>
          </cell>
          <cell r="O6" t="str">
            <v>翼状胬肉切除伴结膜移植术</v>
          </cell>
          <cell r="Q6">
            <v>6.8798710024187004</v>
          </cell>
        </row>
        <row r="7">
          <cell r="B7">
            <v>14.74</v>
          </cell>
          <cell r="C7" t="str">
            <v>玻璃体切除术，后路法</v>
          </cell>
          <cell r="E7">
            <v>3.3812768104970998</v>
          </cell>
          <cell r="H7">
            <v>14.74</v>
          </cell>
          <cell r="I7" t="str">
            <v>玻璃体切除术，后路法</v>
          </cell>
          <cell r="K7">
            <v>3.8926570333235002</v>
          </cell>
          <cell r="N7">
            <v>13.72</v>
          </cell>
          <cell r="O7" t="str">
            <v>人工晶体二期置入术</v>
          </cell>
          <cell r="Q7">
            <v>3.1711905401773701</v>
          </cell>
        </row>
        <row r="8">
          <cell r="B8">
            <v>14.24</v>
          </cell>
          <cell r="C8" t="str">
            <v>视网膜病损激光治疗</v>
          </cell>
          <cell r="E8">
            <v>2.9018420388594501</v>
          </cell>
          <cell r="H8" t="str">
            <v>08.22</v>
          </cell>
          <cell r="I8" t="str">
            <v>眼睑小病损切除术</v>
          </cell>
          <cell r="K8">
            <v>2.2412267767620202</v>
          </cell>
          <cell r="N8">
            <v>14.29</v>
          </cell>
          <cell r="O8" t="str">
            <v>视网膜前膜切除术</v>
          </cell>
          <cell r="Q8">
            <v>2.7143241064230001</v>
          </cell>
        </row>
      </sheetData>
      <sheetData sheetId="25">
        <row r="4">
          <cell r="B4">
            <v>22.53</v>
          </cell>
          <cell r="C4" t="str">
            <v>多个鼻窦开放术，经鼻镜</v>
          </cell>
          <cell r="E4">
            <v>15.446608462055099</v>
          </cell>
          <cell r="H4">
            <v>22.53</v>
          </cell>
          <cell r="I4" t="str">
            <v>多个鼻窦开放术，经鼻镜</v>
          </cell>
          <cell r="K4">
            <v>15.1898734177215</v>
          </cell>
          <cell r="N4">
            <v>22.53</v>
          </cell>
          <cell r="O4" t="str">
            <v>鼻内窥镜下多个鼻窦开窗术</v>
          </cell>
          <cell r="Q4">
            <v>16.1755075311067</v>
          </cell>
        </row>
        <row r="5">
          <cell r="B5">
            <v>20.09</v>
          </cell>
          <cell r="C5" t="str">
            <v>鼓膜穿刺抽吸术(中耳抽吸术)</v>
          </cell>
          <cell r="E5">
            <v>14.9093351242445</v>
          </cell>
          <cell r="H5">
            <v>30.09</v>
          </cell>
          <cell r="I5" t="str">
            <v>声带病损切除术，经喉镜</v>
          </cell>
          <cell r="K5">
            <v>12.258494337108599</v>
          </cell>
          <cell r="N5">
            <v>30.09</v>
          </cell>
          <cell r="O5" t="str">
            <v>内镜下声带病损切除术</v>
          </cell>
          <cell r="Q5">
            <v>13.0320890635232</v>
          </cell>
        </row>
        <row r="6">
          <cell r="B6">
            <v>30.09</v>
          </cell>
          <cell r="C6" t="str">
            <v>声带病损切除术，经喉镜</v>
          </cell>
          <cell r="E6">
            <v>14.1705842847549</v>
          </cell>
          <cell r="H6">
            <v>28.3</v>
          </cell>
          <cell r="I6" t="str">
            <v>扁桃体伴腺样体消融术，经内窥镜</v>
          </cell>
          <cell r="K6">
            <v>10.1932045303131</v>
          </cell>
          <cell r="N6" t="str">
            <v>28.6x</v>
          </cell>
          <cell r="O6" t="str">
            <v>鼻内镜下腺样体等离子切除术</v>
          </cell>
          <cell r="Q6">
            <v>7.3346430910281599</v>
          </cell>
        </row>
        <row r="7">
          <cell r="B7" t="str">
            <v>19.4</v>
          </cell>
          <cell r="C7" t="str">
            <v>鼓室成形术，I型（鼓膜修补术），经耳镜</v>
          </cell>
          <cell r="E7">
            <v>8.1934184016118206</v>
          </cell>
          <cell r="H7">
            <v>20.09</v>
          </cell>
          <cell r="I7" t="str">
            <v>鼓膜穿刺抽吸术(中耳抽吸术)</v>
          </cell>
          <cell r="K7">
            <v>6.7288474350433001</v>
          </cell>
          <cell r="N7" t="str">
            <v>19.4x</v>
          </cell>
          <cell r="O7" t="str">
            <v>内镜下鼓室成形术</v>
          </cell>
          <cell r="Q7">
            <v>7.0726915520628699</v>
          </cell>
        </row>
        <row r="8">
          <cell r="B8" t="str">
            <v>28.3</v>
          </cell>
          <cell r="C8" t="str">
            <v>扁桃体伴腺样体切除术，经内窥镜</v>
          </cell>
          <cell r="E8">
            <v>8.3948959032908004</v>
          </cell>
          <cell r="H8">
            <v>19.399999999999999</v>
          </cell>
          <cell r="I8" t="str">
            <v>鼓室成形术，I型（鼓膜修补术），经耳镜</v>
          </cell>
          <cell r="K8">
            <v>5.7961359093937403</v>
          </cell>
          <cell r="N8">
            <v>20.09</v>
          </cell>
          <cell r="O8" t="str">
            <v>中耳抽吸术</v>
          </cell>
          <cell r="Q8">
            <v>6.4178127046496396</v>
          </cell>
        </row>
      </sheetData>
      <sheetData sheetId="26">
        <row r="4">
          <cell r="B4">
            <v>80.489999999999995</v>
          </cell>
          <cell r="C4" t="str">
            <v>脊柱韧带松解术</v>
          </cell>
          <cell r="E4">
            <v>36.065573770491802</v>
          </cell>
          <cell r="H4">
            <v>80.59</v>
          </cell>
          <cell r="I4" t="str">
            <v>椎间盘切除术，后路法，经椎间盘镜</v>
          </cell>
          <cell r="K4">
            <v>35.611510791366896</v>
          </cell>
          <cell r="N4">
            <v>80.510000000000005</v>
          </cell>
          <cell r="O4" t="str">
            <v>内镜下腰椎间盘切除术</v>
          </cell>
          <cell r="Q4">
            <v>53.521126760563398</v>
          </cell>
        </row>
        <row r="5">
          <cell r="B5">
            <v>80.59</v>
          </cell>
          <cell r="C5" t="str">
            <v>椎间盘切除术，后路法，经椎间盘镜</v>
          </cell>
          <cell r="E5">
            <v>28.524590163934398</v>
          </cell>
          <cell r="H5">
            <v>83.02</v>
          </cell>
          <cell r="I5" t="str">
            <v>肌肉筋膜减压术</v>
          </cell>
          <cell r="K5">
            <v>26.978417266187002</v>
          </cell>
          <cell r="N5">
            <v>81.650000000000006</v>
          </cell>
          <cell r="O5" t="str">
            <v>经皮椎骨成形术</v>
          </cell>
          <cell r="Q5">
            <v>18.779342723004699</v>
          </cell>
        </row>
        <row r="6">
          <cell r="B6">
            <v>83.02</v>
          </cell>
          <cell r="C6" t="str">
            <v>肌肉筋膜减压术</v>
          </cell>
          <cell r="E6">
            <v>6.2295081967213104</v>
          </cell>
          <cell r="H6">
            <v>81.650000000000006</v>
          </cell>
          <cell r="I6" t="str">
            <v>腰胸椎骨成形术(PVP)</v>
          </cell>
          <cell r="K6">
            <v>8.9928057553956808</v>
          </cell>
          <cell r="N6" t="str">
            <v>04.2x</v>
          </cell>
          <cell r="O6" t="str">
            <v>脊髓神经根射频消融术</v>
          </cell>
          <cell r="Q6">
            <v>4.2253521126760596</v>
          </cell>
        </row>
        <row r="7">
          <cell r="B7">
            <v>83.19</v>
          </cell>
          <cell r="C7" t="str">
            <v>肌肉松解术(切断术)</v>
          </cell>
          <cell r="E7">
            <v>5.5737704918032804</v>
          </cell>
          <cell r="H7">
            <v>80.489999999999995</v>
          </cell>
          <cell r="I7" t="str">
            <v>脊柱韧带松解术</v>
          </cell>
          <cell r="K7">
            <v>7.5539568345323698</v>
          </cell>
          <cell r="N7">
            <v>77.27</v>
          </cell>
          <cell r="O7" t="str">
            <v>腓骨截骨术</v>
          </cell>
          <cell r="Q7">
            <v>3.7558685446009399</v>
          </cell>
        </row>
        <row r="8">
          <cell r="B8">
            <v>81.650000000000006</v>
          </cell>
          <cell r="C8" t="str">
            <v>胸椎骨成形术(PVP)</v>
          </cell>
          <cell r="E8">
            <v>5.2459016393442601</v>
          </cell>
          <cell r="H8">
            <v>77.27</v>
          </cell>
          <cell r="I8" t="str">
            <v>腓骨截骨术</v>
          </cell>
          <cell r="K8">
            <v>2.5179856115107899</v>
          </cell>
          <cell r="N8" t="str">
            <v>80.6x</v>
          </cell>
          <cell r="O8" t="str">
            <v>关节镜膝内侧半月板部分切除术</v>
          </cell>
          <cell r="Q8">
            <v>3.7558685446009399</v>
          </cell>
        </row>
      </sheetData>
      <sheetData sheetId="27">
        <row r="4">
          <cell r="B4">
            <v>25.91</v>
          </cell>
          <cell r="C4" t="str">
            <v>舌系带切开成形术(舌系带延长术)</v>
          </cell>
          <cell r="E4">
            <v>21.061359867330001</v>
          </cell>
          <cell r="H4">
            <v>76.2</v>
          </cell>
          <cell r="I4" t="str">
            <v>上下颌骨病损切除术</v>
          </cell>
          <cell r="K4">
            <v>22.0136518771331</v>
          </cell>
          <cell r="N4" t="str">
            <v>76.2x</v>
          </cell>
          <cell r="O4" t="str">
            <v>颌骨囊肿摘除术</v>
          </cell>
          <cell r="Q4">
            <v>25.377643504531701</v>
          </cell>
        </row>
        <row r="5">
          <cell r="B5" t="str">
            <v>76.2</v>
          </cell>
          <cell r="C5" t="str">
            <v>上下颌骨病损切除术</v>
          </cell>
          <cell r="E5">
            <v>19.071310116086199</v>
          </cell>
          <cell r="H5">
            <v>25.91</v>
          </cell>
          <cell r="I5" t="str">
            <v>舌系带切开成形术(舌系带延长术)</v>
          </cell>
          <cell r="K5">
            <v>17.747440273037501</v>
          </cell>
          <cell r="N5">
            <v>25.91</v>
          </cell>
          <cell r="O5" t="str">
            <v>舌系带延长术</v>
          </cell>
          <cell r="Q5">
            <v>15.558912386707</v>
          </cell>
        </row>
        <row r="6">
          <cell r="B6">
            <v>26.29</v>
          </cell>
          <cell r="C6" t="str">
            <v>腮腺病损切除术</v>
          </cell>
          <cell r="E6">
            <v>6.6334991708126001</v>
          </cell>
          <cell r="H6">
            <v>23.19</v>
          </cell>
          <cell r="I6" t="str">
            <v>埋伏牙手术拔除术</v>
          </cell>
          <cell r="K6">
            <v>6.6552901023890803</v>
          </cell>
          <cell r="N6">
            <v>76.97</v>
          </cell>
          <cell r="O6" t="str">
            <v>下颌骨内固定装置取出术</v>
          </cell>
          <cell r="Q6">
            <v>6.6465256797583097</v>
          </cell>
        </row>
        <row r="7">
          <cell r="B7">
            <v>23.19</v>
          </cell>
          <cell r="C7" t="str">
            <v>牙手术拔除术</v>
          </cell>
          <cell r="E7">
            <v>5.1409618573797697</v>
          </cell>
          <cell r="H7">
            <v>76.97</v>
          </cell>
          <cell r="I7" t="str">
            <v>颌骨内固定去除术</v>
          </cell>
          <cell r="K7">
            <v>5.4607508532423203</v>
          </cell>
          <cell r="N7">
            <v>23.19</v>
          </cell>
          <cell r="O7" t="str">
            <v>阻生齿拔除术伴翻瓣</v>
          </cell>
          <cell r="Q7">
            <v>5.7401812688821696</v>
          </cell>
        </row>
        <row r="8">
          <cell r="B8">
            <v>76.760000000000005</v>
          </cell>
          <cell r="C8" t="str">
            <v>下颌骨骨折切开复位内固定术</v>
          </cell>
          <cell r="E8">
            <v>4.6434494195688201</v>
          </cell>
          <cell r="H8">
            <v>24.31</v>
          </cell>
          <cell r="I8" t="str">
            <v>牙龈病损切除术</v>
          </cell>
          <cell r="K8">
            <v>4.2662116040955604</v>
          </cell>
          <cell r="N8">
            <v>26.29</v>
          </cell>
          <cell r="O8" t="str">
            <v>腮腺病损切除术</v>
          </cell>
          <cell r="Q8">
            <v>4.6827794561933498</v>
          </cell>
        </row>
      </sheetData>
      <sheetData sheetId="28">
        <row r="4">
          <cell r="B4">
            <v>86.69</v>
          </cell>
          <cell r="C4" t="str">
            <v>上下肢游离皮片移植术</v>
          </cell>
          <cell r="E4">
            <v>46.255506607929497</v>
          </cell>
          <cell r="H4">
            <v>86.59</v>
          </cell>
          <cell r="I4" t="str">
            <v>皮肤裂伤清创缝合术(除外胸壁、腹壁）</v>
          </cell>
          <cell r="K4">
            <v>31.541218637992799</v>
          </cell>
          <cell r="N4">
            <v>86.22</v>
          </cell>
          <cell r="O4" t="str">
            <v>伤口、感染或烧伤的切除性清创术</v>
          </cell>
          <cell r="Q4">
            <v>30.473372781065098</v>
          </cell>
        </row>
        <row r="5">
          <cell r="B5">
            <v>86.59</v>
          </cell>
          <cell r="C5" t="str">
            <v>皮肤裂伤清创缝合术(除外胸壁、腹壁）</v>
          </cell>
          <cell r="E5">
            <v>30.3964757709251</v>
          </cell>
          <cell r="H5">
            <v>86.69</v>
          </cell>
          <cell r="I5" t="str">
            <v>下肢游离皮片移植术</v>
          </cell>
          <cell r="K5">
            <v>29.390681003584199</v>
          </cell>
          <cell r="N5">
            <v>86.59</v>
          </cell>
          <cell r="O5" t="str">
            <v>皮肤缝合术</v>
          </cell>
          <cell r="Q5">
            <v>26.035502958579901</v>
          </cell>
        </row>
        <row r="6">
          <cell r="B6">
            <v>86.22</v>
          </cell>
          <cell r="C6" t="str">
            <v>躯干皮肤皮下组织伤口切除性清创术</v>
          </cell>
          <cell r="E6">
            <v>26.431718061674001</v>
          </cell>
          <cell r="H6">
            <v>86.22</v>
          </cell>
          <cell r="I6" t="str">
            <v>躯干皮肤皮下组织伤口切除性清创术</v>
          </cell>
          <cell r="K6">
            <v>26.164874551971302</v>
          </cell>
          <cell r="N6">
            <v>86.69</v>
          </cell>
          <cell r="O6" t="str">
            <v>中厚皮片移植术</v>
          </cell>
          <cell r="Q6">
            <v>20.414201183431999</v>
          </cell>
        </row>
        <row r="7">
          <cell r="B7">
            <v>86.74</v>
          </cell>
          <cell r="C7" t="str">
            <v>局部皮瓣移植术(邻近皮瓣移植术)</v>
          </cell>
          <cell r="E7">
            <v>14.5374449339207</v>
          </cell>
          <cell r="H7">
            <v>86.74</v>
          </cell>
          <cell r="I7" t="str">
            <v>局部皮瓣移植术(邻近皮瓣移植术)</v>
          </cell>
          <cell r="K7">
            <v>11.469534050179201</v>
          </cell>
          <cell r="N7" t="str">
            <v>86.4x</v>
          </cell>
          <cell r="O7" t="str">
            <v>皮肤病损根治性切除术</v>
          </cell>
          <cell r="Q7">
            <v>7.9881656804733696</v>
          </cell>
        </row>
        <row r="8">
          <cell r="B8">
            <v>86.65</v>
          </cell>
          <cell r="C8" t="str">
            <v>异种物植皮术</v>
          </cell>
          <cell r="E8">
            <v>6.6079295154185003</v>
          </cell>
          <cell r="H8">
            <v>86.4</v>
          </cell>
          <cell r="I8" t="str">
            <v>皮肤病损根治性切除术</v>
          </cell>
          <cell r="K8">
            <v>5.0179211469534097</v>
          </cell>
          <cell r="N8" t="str">
            <v>86.3x</v>
          </cell>
          <cell r="O8" t="str">
            <v>皮肤瘢痕切除术</v>
          </cell>
          <cell r="Q8">
            <v>5.32544378698225</v>
          </cell>
        </row>
      </sheetData>
      <sheetData sheetId="29">
        <row r="4">
          <cell r="B4">
            <v>49.46</v>
          </cell>
          <cell r="C4" t="str">
            <v>痔切除术</v>
          </cell>
          <cell r="E4">
            <v>67.597354886113195</v>
          </cell>
          <cell r="H4">
            <v>49.46</v>
          </cell>
          <cell r="I4" t="str">
            <v>痔切除术</v>
          </cell>
          <cell r="K4">
            <v>61.568938193343897</v>
          </cell>
          <cell r="N4">
            <v>49.46</v>
          </cell>
          <cell r="O4" t="str">
            <v>痔切除术</v>
          </cell>
          <cell r="Q4">
            <v>63.913043478260903</v>
          </cell>
        </row>
        <row r="5">
          <cell r="B5">
            <v>49.12</v>
          </cell>
          <cell r="C5" t="str">
            <v>肛瘘切除术</v>
          </cell>
          <cell r="E5">
            <v>7.5679647318148398</v>
          </cell>
          <cell r="H5">
            <v>49.01</v>
          </cell>
          <cell r="I5" t="str">
            <v>肛周脓肿切开引流术</v>
          </cell>
          <cell r="K5">
            <v>9.0332805071315398</v>
          </cell>
          <cell r="N5">
            <v>49.11</v>
          </cell>
          <cell r="O5" t="str">
            <v>肛门瘘管切开术</v>
          </cell>
          <cell r="Q5">
            <v>12.7536231884058</v>
          </cell>
        </row>
        <row r="6">
          <cell r="B6">
            <v>49.01</v>
          </cell>
          <cell r="C6" t="str">
            <v>肛周脓肿切开引流术</v>
          </cell>
          <cell r="E6">
            <v>5.8045554739162402</v>
          </cell>
          <cell r="H6">
            <v>49.12</v>
          </cell>
          <cell r="I6" t="str">
            <v>肛瘘切除术</v>
          </cell>
          <cell r="K6">
            <v>8.7955625990491306</v>
          </cell>
          <cell r="N6">
            <v>49.12</v>
          </cell>
          <cell r="O6" t="str">
            <v>肛门瘘管切除术</v>
          </cell>
          <cell r="Q6">
            <v>5.9420289855072497</v>
          </cell>
        </row>
        <row r="7">
          <cell r="B7">
            <v>49.11</v>
          </cell>
          <cell r="C7" t="str">
            <v>肛瘘切开术</v>
          </cell>
          <cell r="E7">
            <v>5.65760470242469</v>
          </cell>
          <cell r="H7">
            <v>49.11</v>
          </cell>
          <cell r="I7" t="str">
            <v>肛瘘切开术</v>
          </cell>
          <cell r="K7">
            <v>4.0412044374009497</v>
          </cell>
          <cell r="N7">
            <v>49.59</v>
          </cell>
          <cell r="O7" t="str">
            <v>肛门括约肌切断术</v>
          </cell>
          <cell r="Q7">
            <v>5.2173913043478297</v>
          </cell>
        </row>
        <row r="8">
          <cell r="B8">
            <v>49.59</v>
          </cell>
          <cell r="C8" t="str">
            <v>肛门括约肌切断术</v>
          </cell>
          <cell r="E8">
            <v>3.7472446730345301</v>
          </cell>
          <cell r="H8">
            <v>49.45</v>
          </cell>
          <cell r="I8" t="str">
            <v>痔结扎术</v>
          </cell>
          <cell r="K8">
            <v>4.0412044374009497</v>
          </cell>
          <cell r="N8">
            <v>49.01</v>
          </cell>
          <cell r="O8" t="str">
            <v>肛周脓肿切开引流术</v>
          </cell>
          <cell r="Q8">
            <v>4.4202898550724603</v>
          </cell>
        </row>
      </sheetData>
      <sheetData sheetId="30">
        <row r="4">
          <cell r="B4" t="str">
            <v>74.1</v>
          </cell>
          <cell r="C4" t="str">
            <v>子宫下段剖宫产术</v>
          </cell>
          <cell r="E4">
            <v>51.045539033457302</v>
          </cell>
          <cell r="H4">
            <v>74.099999999999994</v>
          </cell>
          <cell r="I4" t="str">
            <v>子宫下段剖宫产术</v>
          </cell>
          <cell r="K4">
            <v>49.328379537010598</v>
          </cell>
          <cell r="N4" t="str">
            <v>74.1x</v>
          </cell>
          <cell r="O4" t="str">
            <v>剖宫产术，子宫下段横切口</v>
          </cell>
          <cell r="Q4">
            <v>50.373983739837399</v>
          </cell>
        </row>
        <row r="5">
          <cell r="B5" t="str">
            <v>75.69</v>
          </cell>
          <cell r="C5" t="str">
            <v>产科近期会阴Ⅰ-Ⅱ度裂伤修补术</v>
          </cell>
          <cell r="E5">
            <v>34.572490706319698</v>
          </cell>
          <cell r="H5">
            <v>75.69</v>
          </cell>
          <cell r="I5" t="str">
            <v>产科近期会阴Ⅰ-Ⅱ度裂伤修补术</v>
          </cell>
          <cell r="K5">
            <v>33.380965990282903</v>
          </cell>
          <cell r="N5">
            <v>75.69</v>
          </cell>
          <cell r="O5" t="str">
            <v>近期产科会阴裂伤修补术</v>
          </cell>
          <cell r="Q5">
            <v>33.626016260162601</v>
          </cell>
        </row>
        <row r="6">
          <cell r="B6" t="str">
            <v>73.6</v>
          </cell>
          <cell r="C6" t="str">
            <v>产科会阴切开缝合术</v>
          </cell>
          <cell r="E6">
            <v>10.3159851301115</v>
          </cell>
          <cell r="H6">
            <v>73.599999999999994</v>
          </cell>
          <cell r="I6" t="str">
            <v>产科会阴切开缝合术</v>
          </cell>
          <cell r="K6">
            <v>10.9174049728494</v>
          </cell>
          <cell r="N6" t="str">
            <v>73.6x</v>
          </cell>
          <cell r="O6" t="str">
            <v>会阴侧切缝合术</v>
          </cell>
          <cell r="Q6">
            <v>9.5609756097561007</v>
          </cell>
        </row>
        <row r="7">
          <cell r="B7" t="str">
            <v>75.51</v>
          </cell>
          <cell r="C7" t="str">
            <v>子宫颈近期产科裂伤修补术</v>
          </cell>
          <cell r="E7">
            <v>1.20817843866171</v>
          </cell>
          <cell r="H7">
            <v>75.510000000000005</v>
          </cell>
          <cell r="I7" t="str">
            <v>子宫颈近期产科裂伤修补术</v>
          </cell>
          <cell r="K7">
            <v>1.6290368676764799</v>
          </cell>
          <cell r="N7" t="str">
            <v>72.1x</v>
          </cell>
          <cell r="O7" t="str">
            <v>低位产钳手术伴外阴切开术</v>
          </cell>
          <cell r="Q7">
            <v>1.82113821138211</v>
          </cell>
        </row>
        <row r="8">
          <cell r="B8" t="str">
            <v>72.1</v>
          </cell>
          <cell r="C8" t="str">
            <v>低位产钳伴外阴切开术</v>
          </cell>
          <cell r="E8">
            <v>0.55762081784386597</v>
          </cell>
          <cell r="H8">
            <v>72.099999999999994</v>
          </cell>
          <cell r="I8" t="str">
            <v>低位产钳伴外阴切开术</v>
          </cell>
          <cell r="K8">
            <v>1.54329808516719</v>
          </cell>
          <cell r="N8">
            <v>75.510000000000005</v>
          </cell>
          <cell r="O8" t="str">
            <v>子宫颈近期产科裂伤修补术</v>
          </cell>
          <cell r="Q8">
            <v>1.0081300813008101</v>
          </cell>
        </row>
      </sheetData>
      <sheetData sheetId="31">
        <row r="4">
          <cell r="B4">
            <v>53.02</v>
          </cell>
          <cell r="C4" t="str">
            <v>腹股沟斜疝修补术，单侧，经腹腔镜</v>
          </cell>
          <cell r="E4">
            <v>31.5028901734104</v>
          </cell>
          <cell r="H4">
            <v>53.02</v>
          </cell>
          <cell r="I4" t="str">
            <v>腹股沟斜疝修补术，单侧，经腹腔镜</v>
          </cell>
          <cell r="K4">
            <v>25.693730729702001</v>
          </cell>
          <cell r="N4">
            <v>53.02</v>
          </cell>
          <cell r="O4" t="str">
            <v>腹腔镜下单侧腹股沟斜疝修补术</v>
          </cell>
          <cell r="Q4">
            <v>19.673704414587299</v>
          </cell>
        </row>
        <row r="5">
          <cell r="B5">
            <v>53.12</v>
          </cell>
          <cell r="C5" t="str">
            <v>腹股沟斜疝修补术，双侧，经腹腔镜</v>
          </cell>
          <cell r="E5">
            <v>20.8092485549133</v>
          </cell>
          <cell r="H5">
            <v>53.12</v>
          </cell>
          <cell r="I5" t="str">
            <v>腹股沟斜疝修补术，双侧，经腹腔镜</v>
          </cell>
          <cell r="K5">
            <v>21.6855087358684</v>
          </cell>
          <cell r="N5">
            <v>61.49</v>
          </cell>
          <cell r="O5" t="str">
            <v>腹腔镜下鞘状突高位结扎术</v>
          </cell>
          <cell r="Q5">
            <v>19.673704414587299</v>
          </cell>
        </row>
        <row r="6">
          <cell r="B6">
            <v>64.489999999999995</v>
          </cell>
          <cell r="C6" t="str">
            <v>隐匿型阴茎矫治术</v>
          </cell>
          <cell r="E6">
            <v>6.7437379576107901</v>
          </cell>
          <cell r="H6">
            <v>62.5</v>
          </cell>
          <cell r="I6" t="str">
            <v>睾丸固定术，经腹腔镜</v>
          </cell>
          <cell r="K6">
            <v>7.70811921891059</v>
          </cell>
          <cell r="N6">
            <v>53.12</v>
          </cell>
          <cell r="O6" t="str">
            <v>腹腔镜下双侧腹股沟斜疝修补术</v>
          </cell>
          <cell r="Q6">
            <v>19.481765834932801</v>
          </cell>
        </row>
        <row r="7">
          <cell r="B7" t="str">
            <v>62.5</v>
          </cell>
          <cell r="C7" t="str">
            <v>睾丸固定术，经腹腔镜</v>
          </cell>
          <cell r="E7">
            <v>8.0924855491329506</v>
          </cell>
          <cell r="H7">
            <v>64.489999999999995</v>
          </cell>
          <cell r="I7" t="str">
            <v>隐匿型阴茎矫治术</v>
          </cell>
          <cell r="K7">
            <v>5.3442959917780097</v>
          </cell>
          <cell r="N7" t="str">
            <v>62.5x</v>
          </cell>
          <cell r="O7" t="str">
            <v>腹腔镜睾丸固定术</v>
          </cell>
          <cell r="Q7">
            <v>9.6928982725527799</v>
          </cell>
        </row>
        <row r="8">
          <cell r="B8" t="str">
            <v>61.2</v>
          </cell>
          <cell r="C8" t="str">
            <v>鞘状突高位结扎术，经腹腔镜</v>
          </cell>
          <cell r="E8">
            <v>4.3352601156069399</v>
          </cell>
          <cell r="H8">
            <v>47.01</v>
          </cell>
          <cell r="I8" t="str">
            <v>阑尾切除术，经腹腔镜</v>
          </cell>
          <cell r="K8">
            <v>1.7471736896197301</v>
          </cell>
          <cell r="N8">
            <v>64.489999999999995</v>
          </cell>
          <cell r="O8" t="str">
            <v>阴茎延长术</v>
          </cell>
          <cell r="Q8">
            <v>8.2533589251439494</v>
          </cell>
        </row>
      </sheetData>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
  <sheetViews>
    <sheetView topLeftCell="A43" workbookViewId="0">
      <selection activeCell="A48" sqref="A48"/>
    </sheetView>
  </sheetViews>
  <sheetFormatPr defaultColWidth="9" defaultRowHeight="15" x14ac:dyDescent="0.25"/>
  <cols>
    <col min="1" max="1" width="39.08203125" customWidth="1"/>
    <col min="2" max="2" width="11" customWidth="1"/>
    <col min="3" max="3" width="9" customWidth="1"/>
    <col min="4" max="4" width="12.58203125" customWidth="1"/>
    <col min="5" max="5" width="12.4140625" customWidth="1"/>
    <col min="6" max="6" width="13.58203125" customWidth="1"/>
    <col min="7" max="7" width="129" customWidth="1"/>
    <col min="8" max="8" width="66" customWidth="1"/>
  </cols>
  <sheetData>
    <row r="1" spans="1:8" x14ac:dyDescent="0.25">
      <c r="A1" t="s">
        <v>0</v>
      </c>
      <c r="B1" t="s">
        <v>1</v>
      </c>
      <c r="C1" t="s">
        <v>2</v>
      </c>
      <c r="D1" s="58" t="s">
        <v>3</v>
      </c>
      <c r="E1" s="58" t="s">
        <v>4</v>
      </c>
      <c r="F1" s="58" t="s">
        <v>5</v>
      </c>
      <c r="G1" t="s">
        <v>6</v>
      </c>
      <c r="H1" t="s">
        <v>7</v>
      </c>
    </row>
    <row r="2" spans="1:8" x14ac:dyDescent="0.25">
      <c r="A2" t="s">
        <v>8</v>
      </c>
      <c r="B2" t="s">
        <v>9</v>
      </c>
      <c r="C2" t="s">
        <v>10</v>
      </c>
      <c r="D2" s="59">
        <v>10291</v>
      </c>
      <c r="E2" s="59">
        <v>10118</v>
      </c>
      <c r="F2" s="59">
        <v>9839</v>
      </c>
      <c r="G2" t="s">
        <v>11</v>
      </c>
      <c r="H2" t="s">
        <v>12</v>
      </c>
    </row>
    <row r="3" spans="1:8" x14ac:dyDescent="0.25">
      <c r="A3" t="s">
        <v>13</v>
      </c>
      <c r="B3" t="s">
        <v>14</v>
      </c>
      <c r="C3" s="60" t="s">
        <v>15</v>
      </c>
      <c r="D3" s="49">
        <v>30.063321196770602</v>
      </c>
      <c r="E3" s="49">
        <v>28.092116683336499</v>
      </c>
      <c r="F3" s="49">
        <v>28.1477684907743</v>
      </c>
      <c r="G3" t="s">
        <v>16</v>
      </c>
      <c r="H3" t="s">
        <v>17</v>
      </c>
    </row>
    <row r="4" spans="1:8" x14ac:dyDescent="0.25">
      <c r="A4" t="s">
        <v>18</v>
      </c>
      <c r="B4" t="s">
        <v>14</v>
      </c>
      <c r="C4" s="60" t="s">
        <v>15</v>
      </c>
      <c r="D4" s="49">
        <v>20.6518877362961</v>
      </c>
      <c r="E4" s="49">
        <v>19.676327791672801</v>
      </c>
      <c r="F4" s="49">
        <v>17.502871389752599</v>
      </c>
      <c r="G4" t="s">
        <v>19</v>
      </c>
      <c r="H4" t="s">
        <v>20</v>
      </c>
    </row>
    <row r="5" spans="1:8" x14ac:dyDescent="0.25">
      <c r="A5" t="s">
        <v>21</v>
      </c>
      <c r="B5" t="s">
        <v>14</v>
      </c>
      <c r="C5" s="60" t="s">
        <v>15</v>
      </c>
      <c r="D5" s="49">
        <v>21.8735190353325</v>
      </c>
      <c r="E5" s="49">
        <v>18.784757981462398</v>
      </c>
      <c r="F5" s="49">
        <v>17.427234781634301</v>
      </c>
      <c r="G5" t="s">
        <v>22</v>
      </c>
      <c r="H5" t="s">
        <v>23</v>
      </c>
    </row>
    <row r="6" spans="1:8" x14ac:dyDescent="0.25">
      <c r="A6" t="s">
        <v>24</v>
      </c>
      <c r="B6" t="s">
        <v>14</v>
      </c>
      <c r="C6" s="60" t="s">
        <v>15</v>
      </c>
      <c r="D6" s="58">
        <v>94.43</v>
      </c>
      <c r="E6" s="58">
        <v>91.95</v>
      </c>
      <c r="F6" s="58">
        <v>89.52</v>
      </c>
      <c r="G6" t="s">
        <v>25</v>
      </c>
      <c r="H6" t="s">
        <v>26</v>
      </c>
    </row>
    <row r="7" spans="1:8" x14ac:dyDescent="0.25">
      <c r="A7" s="61" t="s">
        <v>27</v>
      </c>
      <c r="B7" s="61" t="s">
        <v>14</v>
      </c>
      <c r="C7" t="s">
        <v>10</v>
      </c>
      <c r="D7" s="62">
        <v>1.2</v>
      </c>
      <c r="E7" s="62">
        <v>0.8</v>
      </c>
      <c r="F7" s="63">
        <v>0.25</v>
      </c>
      <c r="G7" s="55" t="s">
        <v>28</v>
      </c>
      <c r="H7" t="s">
        <v>29</v>
      </c>
    </row>
    <row r="8" spans="1:8" x14ac:dyDescent="0.25">
      <c r="A8" t="s">
        <v>30</v>
      </c>
      <c r="B8" t="s">
        <v>14</v>
      </c>
      <c r="C8" t="s">
        <v>10</v>
      </c>
      <c r="D8" s="64">
        <v>0.11</v>
      </c>
      <c r="E8" s="65">
        <v>3.5099999999999999E-2</v>
      </c>
      <c r="F8" s="65">
        <v>4.24E-2</v>
      </c>
      <c r="G8" t="s">
        <v>31</v>
      </c>
      <c r="H8" t="s">
        <v>32</v>
      </c>
    </row>
    <row r="9" spans="1:8" x14ac:dyDescent="0.25">
      <c r="A9" t="s">
        <v>33</v>
      </c>
      <c r="B9" t="s">
        <v>14</v>
      </c>
      <c r="C9" t="s">
        <v>34</v>
      </c>
      <c r="D9" s="5">
        <v>3.6493712964301198E-3</v>
      </c>
      <c r="E9" s="5">
        <v>5.41002277904328E-3</v>
      </c>
      <c r="F9" s="5">
        <v>5.2552840538570697E-3</v>
      </c>
      <c r="G9" t="s">
        <v>35</v>
      </c>
      <c r="H9" t="s">
        <v>36</v>
      </c>
    </row>
    <row r="10" spans="1:8" x14ac:dyDescent="0.25">
      <c r="A10" t="s">
        <v>37</v>
      </c>
      <c r="B10" t="s">
        <v>14</v>
      </c>
      <c r="C10" t="s">
        <v>38</v>
      </c>
      <c r="D10" s="5">
        <v>0.05</v>
      </c>
      <c r="E10" s="5">
        <v>0.05</v>
      </c>
      <c r="F10" s="5">
        <v>0.09</v>
      </c>
      <c r="G10" t="s">
        <v>39</v>
      </c>
      <c r="H10" t="s">
        <v>40</v>
      </c>
    </row>
    <row r="11" spans="1:8" x14ac:dyDescent="0.25">
      <c r="A11" t="s">
        <v>41</v>
      </c>
      <c r="B11" t="s">
        <v>14</v>
      </c>
      <c r="C11" t="s">
        <v>10</v>
      </c>
      <c r="D11" s="66">
        <v>94.22</v>
      </c>
      <c r="E11" s="66" t="s">
        <v>42</v>
      </c>
      <c r="F11" s="66" t="s">
        <v>43</v>
      </c>
      <c r="G11" t="s">
        <v>39</v>
      </c>
      <c r="H11" t="s">
        <v>44</v>
      </c>
    </row>
    <row r="12" spans="1:8" x14ac:dyDescent="0.25">
      <c r="A12" t="s">
        <v>45</v>
      </c>
      <c r="B12" t="s">
        <v>14</v>
      </c>
      <c r="C12" t="s">
        <v>10</v>
      </c>
      <c r="D12" s="66">
        <v>92.65</v>
      </c>
      <c r="E12" s="66">
        <v>96.28</v>
      </c>
      <c r="F12" s="67">
        <v>81.25</v>
      </c>
      <c r="G12" t="s">
        <v>46</v>
      </c>
      <c r="H12" t="s">
        <v>47</v>
      </c>
    </row>
    <row r="13" spans="1:8" x14ac:dyDescent="0.25">
      <c r="A13" t="s">
        <v>48</v>
      </c>
      <c r="B13" t="s">
        <v>14</v>
      </c>
      <c r="C13" t="s">
        <v>10</v>
      </c>
      <c r="D13" s="66">
        <v>99.11</v>
      </c>
      <c r="E13" s="68" t="s">
        <v>49</v>
      </c>
      <c r="F13" s="67">
        <v>96.79</v>
      </c>
      <c r="G13" t="s">
        <v>46</v>
      </c>
      <c r="H13" t="s">
        <v>50</v>
      </c>
    </row>
    <row r="14" spans="1:8" x14ac:dyDescent="0.25">
      <c r="A14" t="s">
        <v>51</v>
      </c>
      <c r="B14" t="s">
        <v>14</v>
      </c>
      <c r="C14" t="s">
        <v>34</v>
      </c>
      <c r="D14" s="5">
        <v>0</v>
      </c>
      <c r="E14" s="5">
        <v>0</v>
      </c>
      <c r="F14" s="5">
        <v>0</v>
      </c>
      <c r="G14" t="s">
        <v>19</v>
      </c>
      <c r="H14" t="s">
        <v>52</v>
      </c>
    </row>
    <row r="15" spans="1:8" x14ac:dyDescent="0.25">
      <c r="A15" t="s">
        <v>53</v>
      </c>
      <c r="B15" t="s">
        <v>14</v>
      </c>
      <c r="C15" t="s">
        <v>54</v>
      </c>
      <c r="D15" s="5">
        <v>100</v>
      </c>
      <c r="E15" s="5">
        <v>100</v>
      </c>
      <c r="F15" s="5">
        <v>100</v>
      </c>
      <c r="G15" t="s">
        <v>55</v>
      </c>
      <c r="H15" t="s">
        <v>56</v>
      </c>
    </row>
    <row r="16" spans="1:8" x14ac:dyDescent="0.25">
      <c r="A16" t="s">
        <v>57</v>
      </c>
      <c r="B16" t="s">
        <v>14</v>
      </c>
      <c r="C16" t="s">
        <v>38</v>
      </c>
      <c r="D16" s="5">
        <v>0.91</v>
      </c>
      <c r="E16" s="5">
        <v>1</v>
      </c>
      <c r="F16" s="5">
        <v>1.19</v>
      </c>
      <c r="G16" t="s">
        <v>58</v>
      </c>
      <c r="H16" t="s">
        <v>59</v>
      </c>
    </row>
    <row r="17" spans="1:8" x14ac:dyDescent="0.25">
      <c r="A17" t="s">
        <v>60</v>
      </c>
      <c r="B17" t="s">
        <v>14</v>
      </c>
      <c r="C17" t="s">
        <v>61</v>
      </c>
      <c r="D17" s="5">
        <v>3.09</v>
      </c>
      <c r="E17" s="5">
        <v>3.03</v>
      </c>
      <c r="F17" s="5">
        <v>0.43</v>
      </c>
      <c r="G17" t="s">
        <v>39</v>
      </c>
      <c r="H17" t="s">
        <v>62</v>
      </c>
    </row>
    <row r="18" spans="1:8" x14ac:dyDescent="0.25">
      <c r="A18" t="s">
        <v>63</v>
      </c>
      <c r="B18" t="s">
        <v>64</v>
      </c>
      <c r="C18" t="s">
        <v>61</v>
      </c>
      <c r="D18" s="5">
        <v>37.96</v>
      </c>
      <c r="E18" s="5">
        <v>38.909999999999997</v>
      </c>
      <c r="F18" s="5">
        <v>39.57</v>
      </c>
      <c r="G18" t="s">
        <v>35</v>
      </c>
      <c r="H18" t="s">
        <v>65</v>
      </c>
    </row>
    <row r="19" spans="1:8" x14ac:dyDescent="0.25">
      <c r="A19" t="s">
        <v>66</v>
      </c>
      <c r="B19" t="s">
        <v>14</v>
      </c>
      <c r="C19" t="s">
        <v>61</v>
      </c>
      <c r="D19" s="5">
        <v>70.489999999999995</v>
      </c>
      <c r="E19" s="5">
        <v>61.55</v>
      </c>
      <c r="F19" s="5">
        <v>58.71</v>
      </c>
      <c r="G19" t="s">
        <v>39</v>
      </c>
      <c r="H19" t="s">
        <v>67</v>
      </c>
    </row>
    <row r="20" spans="1:8" x14ac:dyDescent="0.25">
      <c r="A20" t="s">
        <v>68</v>
      </c>
      <c r="B20" t="s">
        <v>14</v>
      </c>
      <c r="C20" t="s">
        <v>61</v>
      </c>
      <c r="D20" s="5">
        <v>95.58</v>
      </c>
      <c r="E20" s="5">
        <v>94.31</v>
      </c>
      <c r="F20" s="5">
        <v>91.2</v>
      </c>
      <c r="G20" t="s">
        <v>39</v>
      </c>
      <c r="H20" t="s">
        <v>69</v>
      </c>
    </row>
    <row r="21" spans="1:8" x14ac:dyDescent="0.25">
      <c r="A21" t="s">
        <v>70</v>
      </c>
      <c r="B21" t="s">
        <v>14</v>
      </c>
      <c r="C21" t="s">
        <v>61</v>
      </c>
      <c r="D21" s="5">
        <v>46.43</v>
      </c>
      <c r="E21" s="5">
        <v>41.41</v>
      </c>
      <c r="F21" s="5">
        <v>40.020000000000003</v>
      </c>
      <c r="G21" t="s">
        <v>39</v>
      </c>
      <c r="H21" t="s">
        <v>71</v>
      </c>
    </row>
    <row r="22" spans="1:8" x14ac:dyDescent="0.25">
      <c r="A22" t="s">
        <v>72</v>
      </c>
      <c r="B22" t="s">
        <v>14</v>
      </c>
      <c r="C22" t="s">
        <v>61</v>
      </c>
      <c r="D22" s="5">
        <v>87.09</v>
      </c>
      <c r="E22" s="5">
        <v>48.46</v>
      </c>
      <c r="F22" s="5">
        <v>0</v>
      </c>
      <c r="G22" t="s">
        <v>39</v>
      </c>
      <c r="H22" t="s">
        <v>73</v>
      </c>
    </row>
    <row r="23" spans="1:8" x14ac:dyDescent="0.25">
      <c r="A23" t="s">
        <v>74</v>
      </c>
      <c r="B23" t="s">
        <v>14</v>
      </c>
      <c r="C23" t="s">
        <v>75</v>
      </c>
      <c r="D23" s="49">
        <v>35.802100000000003</v>
      </c>
      <c r="E23" s="49">
        <v>35.875799999999998</v>
      </c>
      <c r="F23" s="49">
        <v>39.787300000000002</v>
      </c>
      <c r="G23" t="s">
        <v>35</v>
      </c>
      <c r="H23" t="s">
        <v>76</v>
      </c>
    </row>
    <row r="24" spans="1:8" s="57" customFormat="1" x14ac:dyDescent="0.25">
      <c r="A24" s="57" t="s">
        <v>77</v>
      </c>
      <c r="B24" s="57" t="s">
        <v>14</v>
      </c>
      <c r="C24" s="57" t="s">
        <v>78</v>
      </c>
      <c r="D24" s="69">
        <v>100</v>
      </c>
      <c r="E24" s="70" t="s">
        <v>79</v>
      </c>
      <c r="F24" s="70" t="s">
        <v>80</v>
      </c>
      <c r="G24" s="57" t="s">
        <v>39</v>
      </c>
      <c r="H24" s="57" t="s">
        <v>81</v>
      </c>
    </row>
    <row r="25" spans="1:8" s="57" customFormat="1" x14ac:dyDescent="0.25">
      <c r="A25" s="57" t="s">
        <v>82</v>
      </c>
      <c r="B25" s="57" t="s">
        <v>83</v>
      </c>
      <c r="C25" s="57" t="s">
        <v>78</v>
      </c>
      <c r="D25" s="69">
        <v>19.52</v>
      </c>
      <c r="E25" s="70" t="s">
        <v>84</v>
      </c>
      <c r="F25" s="70" t="s">
        <v>85</v>
      </c>
      <c r="G25" s="71" t="s">
        <v>86</v>
      </c>
      <c r="H25" s="57" t="s">
        <v>87</v>
      </c>
    </row>
    <row r="26" spans="1:8" x14ac:dyDescent="0.25">
      <c r="A26" t="s">
        <v>88</v>
      </c>
      <c r="B26" t="s">
        <v>89</v>
      </c>
      <c r="C26" t="s">
        <v>90</v>
      </c>
      <c r="D26" s="69">
        <v>4</v>
      </c>
      <c r="E26" s="69">
        <v>4</v>
      </c>
      <c r="F26" s="69">
        <v>3</v>
      </c>
      <c r="G26" t="s">
        <v>35</v>
      </c>
      <c r="H26" t="s">
        <v>59</v>
      </c>
    </row>
    <row r="27" spans="1:8" x14ac:dyDescent="0.25">
      <c r="A27" t="s">
        <v>91</v>
      </c>
      <c r="B27" t="s">
        <v>92</v>
      </c>
      <c r="C27" s="60" t="s">
        <v>15</v>
      </c>
      <c r="D27" s="5">
        <v>7.59</v>
      </c>
      <c r="E27" s="5">
        <v>7.91</v>
      </c>
      <c r="F27" s="5">
        <v>8.3000000000000007</v>
      </c>
      <c r="G27" t="s">
        <v>93</v>
      </c>
      <c r="H27" t="s">
        <v>94</v>
      </c>
    </row>
    <row r="28" spans="1:8" x14ac:dyDescent="0.25">
      <c r="A28" t="s">
        <v>95</v>
      </c>
      <c r="B28" t="s">
        <v>59</v>
      </c>
      <c r="C28" t="s">
        <v>34</v>
      </c>
      <c r="D28" s="5">
        <v>1.29</v>
      </c>
      <c r="E28" s="5">
        <v>1.31</v>
      </c>
      <c r="F28" s="5">
        <v>1.24</v>
      </c>
      <c r="G28" t="s">
        <v>96</v>
      </c>
      <c r="H28" t="s">
        <v>59</v>
      </c>
    </row>
    <row r="29" spans="1:8" x14ac:dyDescent="0.25">
      <c r="A29" t="s">
        <v>97</v>
      </c>
      <c r="B29" t="s">
        <v>98</v>
      </c>
      <c r="C29" t="s">
        <v>34</v>
      </c>
      <c r="D29" s="5">
        <v>752</v>
      </c>
      <c r="E29" s="5">
        <v>745</v>
      </c>
      <c r="F29" s="5">
        <v>746</v>
      </c>
      <c r="G29" t="s">
        <v>99</v>
      </c>
      <c r="H29" t="s">
        <v>59</v>
      </c>
    </row>
    <row r="30" spans="1:8" x14ac:dyDescent="0.25">
      <c r="A30" t="s">
        <v>100</v>
      </c>
      <c r="B30" t="s">
        <v>101</v>
      </c>
      <c r="C30" t="s">
        <v>102</v>
      </c>
      <c r="D30" s="5">
        <v>3.18</v>
      </c>
      <c r="E30" s="5">
        <v>3.31</v>
      </c>
      <c r="F30" s="5">
        <v>2.48</v>
      </c>
      <c r="G30" t="s">
        <v>39</v>
      </c>
      <c r="H30" t="s">
        <v>103</v>
      </c>
    </row>
    <row r="31" spans="1:8" x14ac:dyDescent="0.25">
      <c r="A31" t="s">
        <v>104</v>
      </c>
      <c r="B31" t="s">
        <v>105</v>
      </c>
      <c r="C31" s="60" t="s">
        <v>15</v>
      </c>
      <c r="D31" s="37">
        <v>2500</v>
      </c>
      <c r="E31" s="37">
        <v>2500</v>
      </c>
      <c r="F31" s="37">
        <v>2500</v>
      </c>
      <c r="G31" t="s">
        <v>58</v>
      </c>
      <c r="H31" t="s">
        <v>59</v>
      </c>
    </row>
    <row r="32" spans="1:8" x14ac:dyDescent="0.25">
      <c r="A32" t="s">
        <v>106</v>
      </c>
      <c r="B32" t="s">
        <v>105</v>
      </c>
      <c r="C32" s="60" t="s">
        <v>15</v>
      </c>
      <c r="D32" s="37">
        <v>2800</v>
      </c>
      <c r="E32" s="37">
        <v>2570</v>
      </c>
      <c r="F32" s="37">
        <v>2818</v>
      </c>
      <c r="G32" t="s">
        <v>58</v>
      </c>
      <c r="H32" t="s">
        <v>59</v>
      </c>
    </row>
    <row r="33" spans="1:8" x14ac:dyDescent="0.25">
      <c r="A33" t="s">
        <v>107</v>
      </c>
      <c r="B33" t="s">
        <v>14</v>
      </c>
      <c r="C33" s="60" t="s">
        <v>15</v>
      </c>
      <c r="D33" s="5">
        <v>96.21</v>
      </c>
      <c r="E33" s="5">
        <v>96.23</v>
      </c>
      <c r="F33" s="5">
        <v>102.3</v>
      </c>
      <c r="G33" t="s">
        <v>58</v>
      </c>
      <c r="H33" t="s">
        <v>108</v>
      </c>
    </row>
    <row r="34" spans="1:8" x14ac:dyDescent="0.25">
      <c r="A34" t="s">
        <v>109</v>
      </c>
      <c r="B34" t="s">
        <v>59</v>
      </c>
      <c r="C34" t="s">
        <v>102</v>
      </c>
      <c r="D34" s="5">
        <f>2806/D32</f>
        <v>1.0021428571428572</v>
      </c>
      <c r="E34" s="5">
        <f>2806/E32</f>
        <v>1.091828793774319</v>
      </c>
      <c r="F34" s="5">
        <f>2806/F32</f>
        <v>0.99574166075230663</v>
      </c>
      <c r="G34" t="s">
        <v>110</v>
      </c>
      <c r="H34" t="s">
        <v>111</v>
      </c>
    </row>
    <row r="35" spans="1:8" x14ac:dyDescent="0.25">
      <c r="A35" t="s">
        <v>112</v>
      </c>
      <c r="B35" t="s">
        <v>59</v>
      </c>
      <c r="C35" t="s">
        <v>102</v>
      </c>
      <c r="D35" s="5">
        <f>D60/D32</f>
        <v>0.27214285714285713</v>
      </c>
      <c r="E35" s="5">
        <f>E60/E32</f>
        <v>0.28171206225680934</v>
      </c>
      <c r="F35" s="5">
        <f>F60/F32</f>
        <v>0.24733853797019162</v>
      </c>
      <c r="G35" t="s">
        <v>110</v>
      </c>
      <c r="H35" t="s">
        <v>113</v>
      </c>
    </row>
    <row r="36" spans="1:8" x14ac:dyDescent="0.25">
      <c r="A36" t="s">
        <v>114</v>
      </c>
      <c r="B36" t="s">
        <v>59</v>
      </c>
      <c r="C36" t="s">
        <v>102</v>
      </c>
      <c r="D36" s="5">
        <f>D61/D32</f>
        <v>0.62178571428571427</v>
      </c>
      <c r="E36" s="5">
        <f>E61/E32</f>
        <v>0.67782101167315179</v>
      </c>
      <c r="F36" s="5">
        <f>F61/F32</f>
        <v>0.61107168204400286</v>
      </c>
      <c r="G36" t="s">
        <v>110</v>
      </c>
      <c r="H36" t="s">
        <v>115</v>
      </c>
    </row>
    <row r="37" spans="1:8" x14ac:dyDescent="0.25">
      <c r="A37" t="s">
        <v>116</v>
      </c>
      <c r="B37" t="s">
        <v>117</v>
      </c>
      <c r="C37" t="s">
        <v>118</v>
      </c>
      <c r="D37" s="5">
        <v>16.29</v>
      </c>
      <c r="E37" s="5">
        <v>14.73</v>
      </c>
      <c r="F37" s="5">
        <v>16.190000000000001</v>
      </c>
      <c r="G37" t="s">
        <v>119</v>
      </c>
      <c r="H37" t="s">
        <v>59</v>
      </c>
    </row>
    <row r="38" spans="1:8" x14ac:dyDescent="0.25">
      <c r="A38" t="s">
        <v>120</v>
      </c>
      <c r="B38" t="s">
        <v>117</v>
      </c>
      <c r="C38" t="s">
        <v>118</v>
      </c>
      <c r="D38" s="5">
        <v>32.71</v>
      </c>
      <c r="E38" s="5">
        <v>29.78</v>
      </c>
      <c r="F38" s="5">
        <v>30.71</v>
      </c>
      <c r="G38" t="s">
        <v>121</v>
      </c>
      <c r="H38" t="s">
        <v>59</v>
      </c>
    </row>
    <row r="39" spans="1:8" x14ac:dyDescent="0.25">
      <c r="A39" t="s">
        <v>122</v>
      </c>
      <c r="B39" t="s">
        <v>117</v>
      </c>
      <c r="C39" t="s">
        <v>118</v>
      </c>
      <c r="D39" s="5">
        <v>21.37</v>
      </c>
      <c r="E39" s="5">
        <v>19.03</v>
      </c>
      <c r="F39" s="5">
        <v>19.68</v>
      </c>
      <c r="G39" t="s">
        <v>123</v>
      </c>
      <c r="H39" t="s">
        <v>59</v>
      </c>
    </row>
    <row r="40" spans="1:8" x14ac:dyDescent="0.25">
      <c r="A40" t="s">
        <v>124</v>
      </c>
      <c r="B40" t="s">
        <v>117</v>
      </c>
      <c r="C40" t="s">
        <v>118</v>
      </c>
      <c r="D40" s="5">
        <v>42.93</v>
      </c>
      <c r="E40" s="5">
        <v>38.47</v>
      </c>
      <c r="F40" s="5">
        <v>37.32</v>
      </c>
      <c r="G40" t="s">
        <v>125</v>
      </c>
      <c r="H40" t="s">
        <v>59</v>
      </c>
    </row>
    <row r="41" spans="1:8" x14ac:dyDescent="0.25">
      <c r="A41" t="s">
        <v>126</v>
      </c>
      <c r="B41" t="s">
        <v>127</v>
      </c>
      <c r="C41" t="s">
        <v>118</v>
      </c>
      <c r="D41" s="5">
        <v>3.43970445475138</v>
      </c>
      <c r="E41" s="5">
        <v>3.61749791871642</v>
      </c>
      <c r="F41" s="5">
        <v>4.1360154085021898</v>
      </c>
      <c r="G41" t="s">
        <v>39</v>
      </c>
      <c r="H41" t="s">
        <v>128</v>
      </c>
    </row>
    <row r="42" spans="1:8" x14ac:dyDescent="0.25">
      <c r="A42" t="s">
        <v>129</v>
      </c>
      <c r="B42" t="s">
        <v>14</v>
      </c>
      <c r="C42" t="s">
        <v>118</v>
      </c>
      <c r="D42" s="5">
        <v>31.87</v>
      </c>
      <c r="E42" s="5">
        <v>31.51</v>
      </c>
      <c r="F42" s="5">
        <v>32.549999999999997</v>
      </c>
      <c r="G42" t="s">
        <v>130</v>
      </c>
      <c r="H42" t="s">
        <v>131</v>
      </c>
    </row>
    <row r="43" spans="1:8" x14ac:dyDescent="0.25">
      <c r="A43" t="s">
        <v>132</v>
      </c>
      <c r="B43" t="s">
        <v>117</v>
      </c>
      <c r="C43" t="s">
        <v>118</v>
      </c>
      <c r="D43" s="5">
        <v>182616.81</v>
      </c>
      <c r="E43" s="5">
        <v>163923.73000000001</v>
      </c>
      <c r="F43" s="5">
        <v>170388.46</v>
      </c>
      <c r="G43" t="s">
        <v>59</v>
      </c>
      <c r="H43" t="s">
        <v>133</v>
      </c>
    </row>
    <row r="44" spans="1:8" x14ac:dyDescent="0.25">
      <c r="A44" t="s">
        <v>134</v>
      </c>
      <c r="B44" t="s">
        <v>117</v>
      </c>
      <c r="C44" t="s">
        <v>118</v>
      </c>
      <c r="D44" s="5">
        <v>58203.18</v>
      </c>
      <c r="E44" s="5">
        <v>51648.94</v>
      </c>
      <c r="F44" s="5">
        <v>55455.67</v>
      </c>
      <c r="G44" t="s">
        <v>59</v>
      </c>
      <c r="H44" t="s">
        <v>59</v>
      </c>
    </row>
    <row r="45" spans="1:8" x14ac:dyDescent="0.25">
      <c r="A45" t="s">
        <v>135</v>
      </c>
      <c r="B45" t="s">
        <v>117</v>
      </c>
      <c r="C45" t="s">
        <v>118</v>
      </c>
      <c r="D45" s="5">
        <v>116885.33</v>
      </c>
      <c r="E45" s="5">
        <v>104411.37</v>
      </c>
      <c r="F45" s="5">
        <v>105169.11</v>
      </c>
      <c r="G45" t="s">
        <v>59</v>
      </c>
      <c r="H45" t="s">
        <v>136</v>
      </c>
    </row>
    <row r="46" spans="1:8" x14ac:dyDescent="0.25">
      <c r="A46" t="s">
        <v>137</v>
      </c>
      <c r="B46" t="s">
        <v>138</v>
      </c>
      <c r="C46" t="s">
        <v>139</v>
      </c>
      <c r="D46" s="72">
        <v>1.89E-2</v>
      </c>
      <c r="E46" s="72">
        <v>2.46E-2</v>
      </c>
      <c r="F46" s="72">
        <v>2.29E-2</v>
      </c>
      <c r="G46" t="s">
        <v>35</v>
      </c>
      <c r="H46" t="s">
        <v>140</v>
      </c>
    </row>
    <row r="47" spans="1:8" x14ac:dyDescent="0.25">
      <c r="A47" t="s">
        <v>141</v>
      </c>
      <c r="B47" t="s">
        <v>14</v>
      </c>
      <c r="C47" t="s">
        <v>118</v>
      </c>
      <c r="D47" s="5">
        <v>25.55</v>
      </c>
      <c r="E47" s="5">
        <v>23.39</v>
      </c>
      <c r="F47" s="5">
        <v>22.43</v>
      </c>
      <c r="G47" t="s">
        <v>35</v>
      </c>
      <c r="H47" t="s">
        <v>142</v>
      </c>
    </row>
    <row r="48" spans="1:8" x14ac:dyDescent="0.25">
      <c r="A48" s="55" t="s">
        <v>143</v>
      </c>
      <c r="B48" t="s">
        <v>14</v>
      </c>
      <c r="D48" s="5">
        <v>0.45</v>
      </c>
      <c r="E48" s="5">
        <v>0.62</v>
      </c>
      <c r="F48" s="5">
        <v>1.57</v>
      </c>
    </row>
    <row r="49" spans="1:8" x14ac:dyDescent="0.25">
      <c r="A49" t="s">
        <v>144</v>
      </c>
      <c r="B49" t="s">
        <v>14</v>
      </c>
      <c r="C49" t="s">
        <v>118</v>
      </c>
      <c r="D49" s="5">
        <v>11.4</v>
      </c>
      <c r="E49" s="5">
        <v>-3.79</v>
      </c>
      <c r="F49" s="5">
        <v>12.97</v>
      </c>
      <c r="G49" t="s">
        <v>35</v>
      </c>
      <c r="H49" t="s">
        <v>145</v>
      </c>
    </row>
    <row r="50" spans="1:8" x14ac:dyDescent="0.25">
      <c r="A50" t="s">
        <v>146</v>
      </c>
      <c r="B50" t="s">
        <v>14</v>
      </c>
      <c r="C50" t="s">
        <v>118</v>
      </c>
      <c r="D50" s="5">
        <v>-3.69</v>
      </c>
      <c r="E50" s="5">
        <v>0.56000000000000005</v>
      </c>
      <c r="F50" s="5">
        <v>6.18</v>
      </c>
      <c r="G50" t="s">
        <v>35</v>
      </c>
      <c r="H50" t="s">
        <v>147</v>
      </c>
    </row>
    <row r="51" spans="1:8" x14ac:dyDescent="0.25">
      <c r="A51" t="s">
        <v>148</v>
      </c>
      <c r="B51" t="s">
        <v>14</v>
      </c>
      <c r="C51" t="s">
        <v>118</v>
      </c>
      <c r="D51" s="5">
        <v>2.31</v>
      </c>
      <c r="E51" s="5">
        <v>1.64</v>
      </c>
      <c r="F51" s="5">
        <v>4.37</v>
      </c>
      <c r="G51" t="s">
        <v>35</v>
      </c>
      <c r="H51" t="s">
        <v>149</v>
      </c>
    </row>
    <row r="52" spans="1:8" x14ac:dyDescent="0.25">
      <c r="A52" t="s">
        <v>150</v>
      </c>
      <c r="B52" t="s">
        <v>14</v>
      </c>
      <c r="C52" t="s">
        <v>118</v>
      </c>
      <c r="D52" s="5">
        <v>1.02</v>
      </c>
      <c r="E52" s="5">
        <v>-0.8</v>
      </c>
      <c r="F52" s="5">
        <v>11.05</v>
      </c>
      <c r="G52" t="s">
        <v>35</v>
      </c>
      <c r="H52" t="s">
        <v>151</v>
      </c>
    </row>
    <row r="53" spans="1:8" x14ac:dyDescent="0.25">
      <c r="A53" t="s">
        <v>152</v>
      </c>
      <c r="B53" t="s">
        <v>14</v>
      </c>
      <c r="C53" t="s">
        <v>118</v>
      </c>
      <c r="D53" s="5">
        <v>-0.94</v>
      </c>
      <c r="E53" s="5">
        <v>-11.51</v>
      </c>
      <c r="F53" s="5">
        <v>5.17</v>
      </c>
      <c r="G53" t="s">
        <v>35</v>
      </c>
      <c r="H53" t="s">
        <v>153</v>
      </c>
    </row>
    <row r="54" spans="1:8" x14ac:dyDescent="0.25">
      <c r="A54" t="s">
        <v>154</v>
      </c>
      <c r="B54" t="s">
        <v>14</v>
      </c>
      <c r="C54" t="s">
        <v>102</v>
      </c>
      <c r="D54" s="5">
        <v>5.38</v>
      </c>
      <c r="E54" s="5">
        <v>5.25</v>
      </c>
      <c r="F54" s="5">
        <v>5.16</v>
      </c>
      <c r="G54" t="s">
        <v>35</v>
      </c>
      <c r="H54" t="s">
        <v>155</v>
      </c>
    </row>
    <row r="55" spans="1:8" x14ac:dyDescent="0.25">
      <c r="A55" t="s">
        <v>156</v>
      </c>
      <c r="B55" t="s">
        <v>14</v>
      </c>
      <c r="C55" t="s">
        <v>102</v>
      </c>
      <c r="D55" s="5">
        <v>5.38</v>
      </c>
      <c r="E55" s="5">
        <v>5.52</v>
      </c>
      <c r="F55" s="5">
        <v>5.74</v>
      </c>
      <c r="G55" t="s">
        <v>35</v>
      </c>
      <c r="H55" t="s">
        <v>157</v>
      </c>
    </row>
    <row r="56" spans="1:8" x14ac:dyDescent="0.25">
      <c r="A56" t="s">
        <v>158</v>
      </c>
      <c r="B56" t="s">
        <v>14</v>
      </c>
      <c r="C56" t="s">
        <v>102</v>
      </c>
      <c r="D56" s="5">
        <v>3.81</v>
      </c>
      <c r="E56" s="5">
        <v>4.01</v>
      </c>
      <c r="F56" s="5">
        <v>3.87</v>
      </c>
      <c r="G56" t="s">
        <v>35</v>
      </c>
      <c r="H56" t="s">
        <v>159</v>
      </c>
    </row>
    <row r="57" spans="1:8" x14ac:dyDescent="0.25">
      <c r="A57" t="s">
        <v>160</v>
      </c>
      <c r="B57" t="s">
        <v>14</v>
      </c>
      <c r="C57" t="s">
        <v>102</v>
      </c>
      <c r="D57" s="5">
        <v>1.71</v>
      </c>
      <c r="E57" s="5">
        <v>1.66</v>
      </c>
      <c r="F57" s="5">
        <v>1.43</v>
      </c>
      <c r="G57" t="s">
        <v>35</v>
      </c>
      <c r="H57" t="s">
        <v>161</v>
      </c>
    </row>
    <row r="58" spans="1:8" x14ac:dyDescent="0.25">
      <c r="A58" t="s">
        <v>162</v>
      </c>
      <c r="B58" t="s">
        <v>14</v>
      </c>
      <c r="C58" t="s">
        <v>102</v>
      </c>
      <c r="D58" s="5">
        <v>4.46</v>
      </c>
      <c r="E58" s="5">
        <v>3.73</v>
      </c>
      <c r="F58" s="5">
        <v>3.87</v>
      </c>
      <c r="G58" t="s">
        <v>19</v>
      </c>
      <c r="H58" t="s">
        <v>163</v>
      </c>
    </row>
    <row r="59" spans="1:8" x14ac:dyDescent="0.25">
      <c r="A59" t="s">
        <v>164</v>
      </c>
      <c r="B59" t="s">
        <v>59</v>
      </c>
      <c r="C59" t="s">
        <v>102</v>
      </c>
      <c r="D59" s="5">
        <v>0.44</v>
      </c>
      <c r="E59" s="5">
        <v>0.42</v>
      </c>
      <c r="F59" s="5">
        <v>0.4</v>
      </c>
      <c r="G59" t="s">
        <v>165</v>
      </c>
      <c r="H59" t="s">
        <v>166</v>
      </c>
    </row>
    <row r="60" spans="1:8" x14ac:dyDescent="0.25">
      <c r="A60" t="s">
        <v>167</v>
      </c>
      <c r="B60" t="s">
        <v>101</v>
      </c>
      <c r="C60" t="s">
        <v>102</v>
      </c>
      <c r="D60" s="37">
        <v>762</v>
      </c>
      <c r="E60" s="37">
        <v>724</v>
      </c>
      <c r="F60" s="37">
        <v>697</v>
      </c>
      <c r="G60" t="s">
        <v>168</v>
      </c>
      <c r="H60" t="s">
        <v>59</v>
      </c>
    </row>
    <row r="61" spans="1:8" x14ac:dyDescent="0.25">
      <c r="A61" t="s">
        <v>169</v>
      </c>
      <c r="B61" t="s">
        <v>101</v>
      </c>
      <c r="C61" t="s">
        <v>102</v>
      </c>
      <c r="D61" s="37">
        <v>1741</v>
      </c>
      <c r="E61" s="37">
        <v>1742</v>
      </c>
      <c r="F61" s="37">
        <v>1722</v>
      </c>
      <c r="G61" t="s">
        <v>168</v>
      </c>
      <c r="H61" t="s">
        <v>59</v>
      </c>
    </row>
    <row r="62" spans="1:8" x14ac:dyDescent="0.25">
      <c r="A62" s="60" t="s">
        <v>170</v>
      </c>
      <c r="B62" t="s">
        <v>59</v>
      </c>
      <c r="C62" t="s">
        <v>102</v>
      </c>
      <c r="D62" s="11">
        <f>6/D32</f>
        <v>2.142857142857143E-3</v>
      </c>
      <c r="E62" s="11">
        <f>6/E32</f>
        <v>2.3346303501945525E-3</v>
      </c>
      <c r="F62" s="11">
        <f>4/F32</f>
        <v>1.4194464158977999E-3</v>
      </c>
      <c r="G62" t="s">
        <v>110</v>
      </c>
      <c r="H62" t="s">
        <v>171</v>
      </c>
    </row>
    <row r="63" spans="1:8" x14ac:dyDescent="0.25">
      <c r="A63" t="s">
        <v>172</v>
      </c>
      <c r="B63" t="s">
        <v>14</v>
      </c>
      <c r="C63" t="s">
        <v>102</v>
      </c>
      <c r="D63" s="5">
        <v>14.54</v>
      </c>
      <c r="E63" s="5">
        <v>14.89</v>
      </c>
      <c r="F63" s="5">
        <v>14.24</v>
      </c>
      <c r="G63" t="s">
        <v>173</v>
      </c>
      <c r="H63" t="s">
        <v>174</v>
      </c>
    </row>
    <row r="64" spans="1:8" x14ac:dyDescent="0.25">
      <c r="A64" t="s">
        <v>175</v>
      </c>
      <c r="B64" t="s">
        <v>14</v>
      </c>
      <c r="C64" t="s">
        <v>176</v>
      </c>
      <c r="D64" s="73">
        <v>21.09</v>
      </c>
      <c r="E64" s="73">
        <v>16.96</v>
      </c>
      <c r="F64" s="73">
        <v>10.98</v>
      </c>
      <c r="G64" t="s">
        <v>177</v>
      </c>
      <c r="H64" t="s">
        <v>59</v>
      </c>
    </row>
    <row r="65" spans="1:8" x14ac:dyDescent="0.25">
      <c r="A65" t="s">
        <v>178</v>
      </c>
      <c r="B65" t="s">
        <v>14</v>
      </c>
      <c r="C65" t="s">
        <v>176</v>
      </c>
      <c r="D65" s="73">
        <v>69.349999999999994</v>
      </c>
      <c r="E65" s="73">
        <v>52.63</v>
      </c>
      <c r="F65" s="73">
        <v>80.33</v>
      </c>
      <c r="G65" t="s">
        <v>39</v>
      </c>
      <c r="H65" t="s">
        <v>179</v>
      </c>
    </row>
    <row r="66" spans="1:8" x14ac:dyDescent="0.25">
      <c r="A66" t="s">
        <v>180</v>
      </c>
      <c r="B66" t="s">
        <v>14</v>
      </c>
      <c r="C66" t="s">
        <v>176</v>
      </c>
      <c r="D66" s="74">
        <v>1.21</v>
      </c>
      <c r="E66" s="74">
        <v>1.0900000000000001</v>
      </c>
      <c r="F66" s="74">
        <v>0.92</v>
      </c>
      <c r="G66" t="s">
        <v>181</v>
      </c>
      <c r="H66" t="s">
        <v>182</v>
      </c>
    </row>
    <row r="67" spans="1:8" x14ac:dyDescent="0.25">
      <c r="A67" t="s">
        <v>183</v>
      </c>
      <c r="B67" t="s">
        <v>14</v>
      </c>
      <c r="C67" t="s">
        <v>176</v>
      </c>
      <c r="D67" s="74">
        <v>29.2</v>
      </c>
      <c r="E67" s="74">
        <v>42.21</v>
      </c>
      <c r="F67" s="74">
        <v>28.08</v>
      </c>
      <c r="G67" t="s">
        <v>181</v>
      </c>
      <c r="H67" t="s">
        <v>184</v>
      </c>
    </row>
    <row r="68" spans="1:8" x14ac:dyDescent="0.25">
      <c r="A68" t="s">
        <v>185</v>
      </c>
      <c r="B68" t="s">
        <v>59</v>
      </c>
      <c r="C68" t="s">
        <v>176</v>
      </c>
      <c r="D68" s="75">
        <v>8.0000000000000002E-3</v>
      </c>
      <c r="E68" s="75">
        <v>0.01</v>
      </c>
      <c r="F68" s="75">
        <v>8.0000000000000002E-3</v>
      </c>
      <c r="G68" t="s">
        <v>186</v>
      </c>
      <c r="H68" t="s">
        <v>187</v>
      </c>
    </row>
    <row r="69" spans="1:8" x14ac:dyDescent="0.25">
      <c r="A69" t="s">
        <v>188</v>
      </c>
      <c r="B69" t="s">
        <v>59</v>
      </c>
      <c r="C69" t="s">
        <v>176</v>
      </c>
      <c r="D69" s="76">
        <v>1.199E-3</v>
      </c>
      <c r="E69" s="76">
        <v>1.622E-3</v>
      </c>
      <c r="F69" s="76">
        <v>1.6540000000000001E-3</v>
      </c>
      <c r="G69" t="s">
        <v>186</v>
      </c>
      <c r="H69" t="s">
        <v>189</v>
      </c>
    </row>
    <row r="70" spans="1:8" x14ac:dyDescent="0.25">
      <c r="A70" t="s">
        <v>190</v>
      </c>
      <c r="B70" t="s">
        <v>59</v>
      </c>
      <c r="C70" t="s">
        <v>176</v>
      </c>
      <c r="D70" s="76">
        <v>0</v>
      </c>
      <c r="E70" s="76">
        <v>4.06E-4</v>
      </c>
      <c r="F70" s="76">
        <v>4.1300000000000001E-4</v>
      </c>
      <c r="G70" t="s">
        <v>191</v>
      </c>
      <c r="H70" t="s">
        <v>192</v>
      </c>
    </row>
    <row r="71" spans="1:8" x14ac:dyDescent="0.25">
      <c r="A71" t="s">
        <v>193</v>
      </c>
      <c r="B71" t="s">
        <v>59</v>
      </c>
      <c r="C71" t="s">
        <v>176</v>
      </c>
      <c r="D71" s="75">
        <v>3.0000000000000001E-3</v>
      </c>
      <c r="E71" s="75">
        <v>2E-3</v>
      </c>
      <c r="F71" s="75">
        <v>3.0000000000000001E-3</v>
      </c>
      <c r="G71" t="s">
        <v>191</v>
      </c>
      <c r="H71" t="s">
        <v>194</v>
      </c>
    </row>
    <row r="72" spans="1:8" x14ac:dyDescent="0.25">
      <c r="A72" t="s">
        <v>195</v>
      </c>
      <c r="B72" t="s">
        <v>196</v>
      </c>
      <c r="C72" t="s">
        <v>176</v>
      </c>
      <c r="D72" s="77">
        <v>918263.96524170996</v>
      </c>
      <c r="E72" s="77">
        <v>427465.53122465499</v>
      </c>
      <c r="F72" s="77">
        <v>16122.3646134766</v>
      </c>
      <c r="G72" t="s">
        <v>39</v>
      </c>
      <c r="H72" t="s">
        <v>197</v>
      </c>
    </row>
    <row r="73" spans="1:8" x14ac:dyDescent="0.25">
      <c r="A73" t="s">
        <v>198</v>
      </c>
      <c r="B73" t="s">
        <v>196</v>
      </c>
      <c r="C73" t="s">
        <v>176</v>
      </c>
      <c r="D73" s="77">
        <v>167370.38953256101</v>
      </c>
      <c r="E73" s="77">
        <v>136625.17842660201</v>
      </c>
      <c r="F73" s="77">
        <v>114612.194295163</v>
      </c>
      <c r="G73" t="s">
        <v>22</v>
      </c>
      <c r="H73" t="s">
        <v>199</v>
      </c>
    </row>
    <row r="74" spans="1:8" x14ac:dyDescent="0.25">
      <c r="A74" t="s">
        <v>200</v>
      </c>
      <c r="B74" t="s">
        <v>201</v>
      </c>
      <c r="C74" t="s">
        <v>176</v>
      </c>
      <c r="D74" s="73">
        <v>0</v>
      </c>
      <c r="E74" s="73">
        <v>0</v>
      </c>
      <c r="F74" s="73">
        <v>0</v>
      </c>
      <c r="G74" t="s">
        <v>202</v>
      </c>
      <c r="H74" t="s">
        <v>59</v>
      </c>
    </row>
    <row r="75" spans="1:8" x14ac:dyDescent="0.25">
      <c r="A75" t="s">
        <v>203</v>
      </c>
      <c r="B75" t="s">
        <v>204</v>
      </c>
      <c r="C75" t="s">
        <v>176</v>
      </c>
      <c r="D75" s="78">
        <v>7.6999999999999999E-2</v>
      </c>
      <c r="E75" s="78">
        <v>6.2E-2</v>
      </c>
      <c r="F75" s="78">
        <v>2.5999999999999999E-2</v>
      </c>
      <c r="G75" t="s">
        <v>205</v>
      </c>
      <c r="H75" t="s">
        <v>59</v>
      </c>
    </row>
    <row r="76" spans="1:8" x14ac:dyDescent="0.25">
      <c r="A76" t="s">
        <v>206</v>
      </c>
      <c r="B76" t="s">
        <v>207</v>
      </c>
      <c r="C76" t="s">
        <v>176</v>
      </c>
      <c r="D76" s="78">
        <v>0.36599999999999999</v>
      </c>
      <c r="E76" s="78">
        <v>0.16500000000000001</v>
      </c>
      <c r="F76" s="78">
        <v>0.06</v>
      </c>
      <c r="G76" t="s">
        <v>205</v>
      </c>
      <c r="H76" t="s">
        <v>59</v>
      </c>
    </row>
    <row r="77" spans="1:8" x14ac:dyDescent="0.25">
      <c r="A77" t="s">
        <v>208</v>
      </c>
      <c r="B77" t="s">
        <v>14</v>
      </c>
      <c r="C77" t="s">
        <v>176</v>
      </c>
      <c r="D77" s="74">
        <v>0.13</v>
      </c>
      <c r="E77" s="74">
        <v>0.14000000000000001</v>
      </c>
      <c r="F77" s="74">
        <v>0.14000000000000001</v>
      </c>
      <c r="G77" t="s">
        <v>59</v>
      </c>
      <c r="H77" t="s">
        <v>209</v>
      </c>
    </row>
    <row r="78" spans="1:8" x14ac:dyDescent="0.25">
      <c r="A78" t="s">
        <v>210</v>
      </c>
      <c r="B78" t="s">
        <v>14</v>
      </c>
      <c r="C78" t="s">
        <v>176</v>
      </c>
      <c r="D78" s="74">
        <v>5.91</v>
      </c>
      <c r="E78" s="74">
        <v>5.8</v>
      </c>
      <c r="F78" s="74">
        <v>1</v>
      </c>
      <c r="G78" t="s">
        <v>59</v>
      </c>
      <c r="H78" t="s">
        <v>211</v>
      </c>
    </row>
    <row r="79" spans="1:8" x14ac:dyDescent="0.25">
      <c r="A79" t="s">
        <v>212</v>
      </c>
      <c r="B79" t="s">
        <v>14</v>
      </c>
      <c r="C79" s="60" t="s">
        <v>15</v>
      </c>
      <c r="D79" s="45">
        <v>3.7470318189013798</v>
      </c>
      <c r="E79" s="45">
        <v>4.0743281780834399</v>
      </c>
      <c r="F79" s="45">
        <v>5.0538584068005097</v>
      </c>
      <c r="G79" t="s">
        <v>59</v>
      </c>
      <c r="H79" t="s">
        <v>213</v>
      </c>
    </row>
    <row r="80" spans="1:8" x14ac:dyDescent="0.25">
      <c r="A80" t="s">
        <v>214</v>
      </c>
      <c r="B80" t="s">
        <v>14</v>
      </c>
      <c r="C80" s="60" t="s">
        <v>15</v>
      </c>
      <c r="D80" s="49">
        <v>1.8640177299351</v>
      </c>
      <c r="E80" s="49">
        <v>2.7980525223802899</v>
      </c>
      <c r="F80" s="49">
        <v>2.7953004258003502</v>
      </c>
      <c r="G80" t="s">
        <v>59</v>
      </c>
      <c r="H80" t="s">
        <v>215</v>
      </c>
    </row>
  </sheetData>
  <phoneticPr fontId="10" type="noConversion"/>
  <pageMargins left="0.69930555555555596" right="0.69930555555555596" top="0.75" bottom="0.75" header="0.3" footer="0.3"/>
  <pageSetup paperSize="9" orientation="portrait"/>
  <ignoredErrors>
    <ignoredError sqref="G26:H47 A8:B47 G2:H6 H7 G8:H24 A1:H1 A2:B6 A49:B80 H25 G49:H80"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1"/>
  <sheetViews>
    <sheetView workbookViewId="0">
      <pane ySplit="1" topLeftCell="A23" activePane="bottomLeft" state="frozen"/>
      <selection pane="bottomLeft" activeCell="F33" sqref="F33"/>
    </sheetView>
  </sheetViews>
  <sheetFormatPr defaultColWidth="9" defaultRowHeight="15" x14ac:dyDescent="0.25"/>
  <cols>
    <col min="1" max="1" width="36.58203125" customWidth="1"/>
    <col min="2" max="2" width="11" customWidth="1"/>
    <col min="3" max="3" width="9" customWidth="1"/>
    <col min="4" max="4" width="12.9140625" customWidth="1"/>
    <col min="5" max="5" width="14.08203125" customWidth="1"/>
    <col min="6" max="6" width="11.58203125" customWidth="1"/>
    <col min="7" max="7" width="77.08203125"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23.190293950004101</v>
      </c>
      <c r="E2" s="5">
        <v>21.178184466903399</v>
      </c>
      <c r="F2" s="5">
        <v>17.842007119850798</v>
      </c>
      <c r="G2" t="s">
        <v>16</v>
      </c>
      <c r="H2" t="s">
        <v>17</v>
      </c>
    </row>
    <row r="3" spans="1:8" x14ac:dyDescent="0.25">
      <c r="A3" t="s">
        <v>18</v>
      </c>
      <c r="B3" t="s">
        <v>14</v>
      </c>
      <c r="C3" t="s">
        <v>15</v>
      </c>
      <c r="D3" s="5">
        <v>0.351123595505618</v>
      </c>
      <c r="E3" s="5">
        <v>0.64488392089423896</v>
      </c>
      <c r="F3" s="5">
        <v>0.142517814726841</v>
      </c>
      <c r="G3" t="s">
        <v>19</v>
      </c>
      <c r="H3" t="s">
        <v>20</v>
      </c>
    </row>
    <row r="4" spans="1:8" x14ac:dyDescent="0.25">
      <c r="A4" t="s">
        <v>21</v>
      </c>
      <c r="B4" t="s">
        <v>14</v>
      </c>
      <c r="C4" t="s">
        <v>15</v>
      </c>
      <c r="D4" s="5">
        <v>12.1137640449438</v>
      </c>
      <c r="E4" s="5">
        <v>10.8340498710232</v>
      </c>
      <c r="F4" s="5">
        <v>10.8313539192399</v>
      </c>
      <c r="G4" t="s">
        <v>22</v>
      </c>
      <c r="H4" t="s">
        <v>23</v>
      </c>
    </row>
    <row r="5" spans="1:8" x14ac:dyDescent="0.25">
      <c r="A5" t="s">
        <v>24</v>
      </c>
      <c r="B5" t="s">
        <v>14</v>
      </c>
      <c r="C5" t="s">
        <v>15</v>
      </c>
      <c r="D5" s="5">
        <v>99.63</v>
      </c>
      <c r="E5" s="5">
        <v>99.694999999999993</v>
      </c>
      <c r="F5" s="5">
        <v>98.625</v>
      </c>
      <c r="G5" t="s">
        <v>25</v>
      </c>
      <c r="H5" t="s">
        <v>26</v>
      </c>
    </row>
    <row r="6" spans="1:8" x14ac:dyDescent="0.25">
      <c r="A6" t="s">
        <v>33</v>
      </c>
      <c r="B6" t="s">
        <v>14</v>
      </c>
      <c r="C6" t="s">
        <v>34</v>
      </c>
      <c r="D6" s="5">
        <v>0</v>
      </c>
      <c r="E6" s="5">
        <v>0</v>
      </c>
      <c r="F6" s="5">
        <v>0</v>
      </c>
      <c r="G6" t="s">
        <v>35</v>
      </c>
      <c r="H6" t="s">
        <v>36</v>
      </c>
    </row>
    <row r="7" spans="1:8" x14ac:dyDescent="0.25">
      <c r="A7" t="s">
        <v>37</v>
      </c>
      <c r="B7" t="s">
        <v>14</v>
      </c>
      <c r="C7" t="s">
        <v>34</v>
      </c>
      <c r="D7" s="5">
        <v>0.03</v>
      </c>
      <c r="E7" s="5">
        <v>0</v>
      </c>
      <c r="F7" s="5">
        <v>0.04</v>
      </c>
      <c r="G7" t="s">
        <v>39</v>
      </c>
      <c r="H7" t="s">
        <v>40</v>
      </c>
    </row>
    <row r="8" spans="1:8" x14ac:dyDescent="0.25">
      <c r="A8" t="s">
        <v>41</v>
      </c>
      <c r="B8" t="s">
        <v>14</v>
      </c>
      <c r="C8" t="s">
        <v>10</v>
      </c>
      <c r="D8" s="5"/>
      <c r="E8" s="5"/>
      <c r="F8" s="5"/>
      <c r="G8" t="s">
        <v>39</v>
      </c>
      <c r="H8" t="s">
        <v>44</v>
      </c>
    </row>
    <row r="9" spans="1:8" x14ac:dyDescent="0.25">
      <c r="A9" t="s">
        <v>51</v>
      </c>
      <c r="B9" t="s">
        <v>14</v>
      </c>
      <c r="C9" t="s">
        <v>34</v>
      </c>
      <c r="D9" s="5">
        <v>0</v>
      </c>
      <c r="E9" s="5">
        <v>0</v>
      </c>
      <c r="F9" s="5">
        <v>0</v>
      </c>
      <c r="G9" t="s">
        <v>19</v>
      </c>
      <c r="H9" t="s">
        <v>52</v>
      </c>
    </row>
    <row r="10" spans="1:8" x14ac:dyDescent="0.25">
      <c r="A10" t="s">
        <v>57</v>
      </c>
      <c r="B10" t="s">
        <v>14</v>
      </c>
      <c r="C10" t="s">
        <v>38</v>
      </c>
      <c r="D10" s="5">
        <v>0.37</v>
      </c>
      <c r="E10" s="5">
        <v>0.55000000000000004</v>
      </c>
      <c r="F10" s="5">
        <v>0.7</v>
      </c>
      <c r="G10" t="s">
        <v>58</v>
      </c>
      <c r="H10" t="s">
        <v>59</v>
      </c>
    </row>
    <row r="11" spans="1:8" x14ac:dyDescent="0.25">
      <c r="A11" t="s">
        <v>63</v>
      </c>
      <c r="B11" t="s">
        <v>64</v>
      </c>
      <c r="C11" t="s">
        <v>61</v>
      </c>
      <c r="D11" s="5">
        <v>39.832876362283201</v>
      </c>
      <c r="E11" s="5">
        <v>40.162804732924698</v>
      </c>
      <c r="F11" s="5">
        <v>35.158240643994702</v>
      </c>
      <c r="G11" t="s">
        <v>35</v>
      </c>
      <c r="H11" t="s">
        <v>65</v>
      </c>
    </row>
    <row r="12" spans="1:8" x14ac:dyDescent="0.25">
      <c r="A12" t="s">
        <v>66</v>
      </c>
      <c r="B12" t="s">
        <v>14</v>
      </c>
      <c r="C12" t="s">
        <v>61</v>
      </c>
      <c r="D12" s="5">
        <v>93.114999999999995</v>
      </c>
      <c r="E12" s="5">
        <v>90.49</v>
      </c>
      <c r="F12" s="5">
        <v>74.075000000000003</v>
      </c>
      <c r="G12" t="s">
        <v>39</v>
      </c>
      <c r="H12" t="s">
        <v>67</v>
      </c>
    </row>
    <row r="13" spans="1:8" x14ac:dyDescent="0.25">
      <c r="A13" t="s">
        <v>68</v>
      </c>
      <c r="B13" t="s">
        <v>14</v>
      </c>
      <c r="C13" t="s">
        <v>61</v>
      </c>
      <c r="D13" s="5">
        <v>99.1</v>
      </c>
      <c r="E13" s="5">
        <v>99.325000000000003</v>
      </c>
      <c r="F13" s="5">
        <v>96.275000000000006</v>
      </c>
      <c r="G13" t="s">
        <v>39</v>
      </c>
      <c r="H13" t="s">
        <v>69</v>
      </c>
    </row>
    <row r="14" spans="1:8" x14ac:dyDescent="0.25">
      <c r="A14" t="s">
        <v>74</v>
      </c>
      <c r="B14" t="s">
        <v>14</v>
      </c>
      <c r="C14" t="s">
        <v>75</v>
      </c>
      <c r="D14" s="5">
        <f>0.1058*100</f>
        <v>10.58</v>
      </c>
      <c r="E14" s="5">
        <f>33130822/(110206952+20678422)*100</f>
        <v>25.312852756183435</v>
      </c>
      <c r="F14" s="5">
        <f>(23470061+4478610)/(128922725+20353525)*100</f>
        <v>18.722784769847848</v>
      </c>
      <c r="G14" t="s">
        <v>35</v>
      </c>
      <c r="H14" t="s">
        <v>76</v>
      </c>
    </row>
    <row r="15" spans="1:8" x14ac:dyDescent="0.25">
      <c r="A15" t="s">
        <v>91</v>
      </c>
      <c r="B15" t="s">
        <v>92</v>
      </c>
      <c r="C15" t="s">
        <v>15</v>
      </c>
      <c r="D15" s="5">
        <v>8.33</v>
      </c>
      <c r="E15" s="5">
        <v>8.2349999999999994</v>
      </c>
      <c r="F15" s="5">
        <v>8.06</v>
      </c>
      <c r="G15" t="s">
        <v>93</v>
      </c>
      <c r="H15" t="s">
        <v>94</v>
      </c>
    </row>
    <row r="16" spans="1:8" x14ac:dyDescent="0.25">
      <c r="A16" t="s">
        <v>95</v>
      </c>
      <c r="B16" t="s">
        <v>59</v>
      </c>
      <c r="C16" t="s">
        <v>34</v>
      </c>
      <c r="D16" s="5"/>
      <c r="E16" s="5"/>
      <c r="F16" s="5"/>
      <c r="G16" t="s">
        <v>96</v>
      </c>
      <c r="H16" t="s">
        <v>59</v>
      </c>
    </row>
    <row r="17" spans="1:8" x14ac:dyDescent="0.25">
      <c r="A17" t="s">
        <v>97</v>
      </c>
      <c r="B17" t="s">
        <v>98</v>
      </c>
      <c r="C17" t="s">
        <v>34</v>
      </c>
      <c r="D17" s="5"/>
      <c r="E17" s="5"/>
      <c r="F17" s="5"/>
      <c r="G17" t="s">
        <v>99</v>
      </c>
      <c r="H17" t="s">
        <v>59</v>
      </c>
    </row>
    <row r="18" spans="1:8" x14ac:dyDescent="0.25">
      <c r="A18" t="s">
        <v>104</v>
      </c>
      <c r="B18" t="s">
        <v>105</v>
      </c>
      <c r="C18" t="s">
        <v>15</v>
      </c>
      <c r="D18" s="37">
        <v>206</v>
      </c>
      <c r="E18" s="37">
        <v>206</v>
      </c>
      <c r="F18" s="37">
        <v>206</v>
      </c>
      <c r="G18" t="s">
        <v>58</v>
      </c>
      <c r="H18" t="s">
        <v>59</v>
      </c>
    </row>
    <row r="19" spans="1:8" x14ac:dyDescent="0.25">
      <c r="A19" t="s">
        <v>106</v>
      </c>
      <c r="B19" t="s">
        <v>105</v>
      </c>
      <c r="C19" t="s">
        <v>15</v>
      </c>
      <c r="D19" s="37">
        <v>220</v>
      </c>
      <c r="E19" s="37">
        <v>196</v>
      </c>
      <c r="F19" s="37">
        <v>238</v>
      </c>
      <c r="G19" t="s">
        <v>58</v>
      </c>
      <c r="H19" t="s">
        <v>59</v>
      </c>
    </row>
    <row r="20" spans="1:8" x14ac:dyDescent="0.25">
      <c r="A20" t="s">
        <v>107</v>
      </c>
      <c r="B20" t="s">
        <v>14</v>
      </c>
      <c r="C20" t="s">
        <v>15</v>
      </c>
      <c r="D20" s="5">
        <v>102.33</v>
      </c>
      <c r="E20" s="5">
        <v>88.415000000000006</v>
      </c>
      <c r="F20" s="5">
        <v>95.9</v>
      </c>
      <c r="G20" t="s">
        <v>58</v>
      </c>
      <c r="H20" t="s">
        <v>108</v>
      </c>
    </row>
    <row r="21" spans="1:8" x14ac:dyDescent="0.25">
      <c r="A21" t="s">
        <v>112</v>
      </c>
      <c r="B21" t="s">
        <v>59</v>
      </c>
      <c r="C21" t="s">
        <v>102</v>
      </c>
      <c r="D21" s="5">
        <f>D43/D19</f>
        <v>0.2</v>
      </c>
      <c r="E21" s="5">
        <f>E43/E19</f>
        <v>0.20408163265306123</v>
      </c>
      <c r="F21" s="5">
        <f>F43/F19</f>
        <v>0.15966386554621848</v>
      </c>
      <c r="G21" t="s">
        <v>110</v>
      </c>
      <c r="H21" t="s">
        <v>113</v>
      </c>
    </row>
    <row r="22" spans="1:8" x14ac:dyDescent="0.25">
      <c r="A22" t="s">
        <v>114</v>
      </c>
      <c r="B22" t="s">
        <v>59</v>
      </c>
      <c r="C22" t="s">
        <v>102</v>
      </c>
      <c r="D22" s="5">
        <f>D44/D19</f>
        <v>0.48181818181818181</v>
      </c>
      <c r="E22" s="5">
        <f>E44/E19</f>
        <v>0.53061224489795922</v>
      </c>
      <c r="F22" s="5">
        <f>F44/F19</f>
        <v>0.44117647058823528</v>
      </c>
      <c r="G22" t="s">
        <v>110</v>
      </c>
      <c r="H22" t="s">
        <v>115</v>
      </c>
    </row>
    <row r="23" spans="1:8" x14ac:dyDescent="0.25">
      <c r="A23" t="s">
        <v>116</v>
      </c>
      <c r="B23" t="s">
        <v>117</v>
      </c>
      <c r="C23" t="s">
        <v>118</v>
      </c>
      <c r="D23" s="5">
        <v>25.570818866666698</v>
      </c>
      <c r="E23" s="5">
        <v>21.9894014347826</v>
      </c>
      <c r="F23" s="5">
        <v>22.943469788461499</v>
      </c>
      <c r="G23" t="s">
        <v>119</v>
      </c>
      <c r="H23" t="s">
        <v>59</v>
      </c>
    </row>
    <row r="24" spans="1:8" x14ac:dyDescent="0.25">
      <c r="A24" t="s">
        <v>120</v>
      </c>
      <c r="B24" t="s">
        <v>117</v>
      </c>
      <c r="C24" t="s">
        <v>118</v>
      </c>
      <c r="D24" s="5">
        <v>51.782775587878803</v>
      </c>
      <c r="E24" s="5">
        <v>46.3045636397515</v>
      </c>
      <c r="F24" s="5">
        <v>47.216787673076901</v>
      </c>
      <c r="G24" t="s">
        <v>121</v>
      </c>
      <c r="H24" t="s">
        <v>59</v>
      </c>
    </row>
    <row r="25" spans="1:8" x14ac:dyDescent="0.25">
      <c r="A25" t="s">
        <v>122</v>
      </c>
      <c r="B25" t="s">
        <v>117</v>
      </c>
      <c r="C25" t="s">
        <v>118</v>
      </c>
      <c r="D25" s="5">
        <v>19.891495511762798</v>
      </c>
      <c r="E25" s="5">
        <v>16.060123530212302</v>
      </c>
      <c r="F25" s="5">
        <v>15.038576836134499</v>
      </c>
      <c r="G25" t="s">
        <v>123</v>
      </c>
      <c r="H25" t="s">
        <v>59</v>
      </c>
    </row>
    <row r="26" spans="1:8" x14ac:dyDescent="0.25">
      <c r="A26" t="s">
        <v>124</v>
      </c>
      <c r="B26" t="s">
        <v>117</v>
      </c>
      <c r="C26" t="s">
        <v>118</v>
      </c>
      <c r="D26" s="5">
        <v>40.281731045212403</v>
      </c>
      <c r="E26" s="5">
        <v>33.818883805116997</v>
      </c>
      <c r="F26" s="5">
        <v>30.948818810924401</v>
      </c>
      <c r="G26" t="s">
        <v>125</v>
      </c>
      <c r="H26" t="s">
        <v>59</v>
      </c>
    </row>
    <row r="27" spans="1:8" x14ac:dyDescent="0.25">
      <c r="A27" t="s">
        <v>126</v>
      </c>
      <c r="B27" t="s">
        <v>127</v>
      </c>
      <c r="C27" t="s">
        <v>118</v>
      </c>
      <c r="D27" s="5">
        <v>4.8405977584059796</v>
      </c>
      <c r="E27" s="5">
        <v>4.9060958904109597</v>
      </c>
      <c r="F27" s="5">
        <v>5.9886806056236503</v>
      </c>
      <c r="G27" t="s">
        <v>39</v>
      </c>
      <c r="H27" t="s">
        <v>128</v>
      </c>
    </row>
    <row r="28" spans="1:8" x14ac:dyDescent="0.25">
      <c r="A28" t="s">
        <v>129</v>
      </c>
      <c r="B28" t="s">
        <v>14</v>
      </c>
      <c r="C28" t="s">
        <v>118</v>
      </c>
      <c r="D28" s="5">
        <v>27.979896307253799</v>
      </c>
      <c r="E28" s="5">
        <v>25.497913535968902</v>
      </c>
      <c r="F28" s="5">
        <v>23.0706733875593</v>
      </c>
      <c r="G28" t="s">
        <v>130</v>
      </c>
      <c r="H28" t="s">
        <v>131</v>
      </c>
    </row>
    <row r="29" spans="1:8" x14ac:dyDescent="0.25">
      <c r="A29" t="s">
        <v>132</v>
      </c>
      <c r="B29" t="s">
        <v>117</v>
      </c>
      <c r="C29" t="s">
        <v>118</v>
      </c>
      <c r="D29" s="5">
        <v>15079.345065</v>
      </c>
      <c r="E29" s="5">
        <v>13884.640506</v>
      </c>
      <c r="F29" s="5">
        <v>15513.987073</v>
      </c>
      <c r="G29" t="s">
        <v>59</v>
      </c>
      <c r="H29" t="s">
        <v>133</v>
      </c>
    </row>
    <row r="30" spans="1:8" x14ac:dyDescent="0.25">
      <c r="A30" t="s">
        <v>134</v>
      </c>
      <c r="B30" t="s">
        <v>117</v>
      </c>
      <c r="C30" t="s">
        <v>118</v>
      </c>
      <c r="D30" s="5">
        <v>4219.1851129999995</v>
      </c>
      <c r="E30" s="5">
        <v>3540.293631</v>
      </c>
      <c r="F30" s="5">
        <v>3579.1812869999999</v>
      </c>
      <c r="G30" t="s">
        <v>59</v>
      </c>
      <c r="H30" t="s">
        <v>59</v>
      </c>
    </row>
    <row r="31" spans="1:8" x14ac:dyDescent="0.25">
      <c r="A31" t="s">
        <v>135</v>
      </c>
      <c r="B31" t="s">
        <v>117</v>
      </c>
      <c r="C31" t="s">
        <v>118</v>
      </c>
      <c r="D31" s="5">
        <v>8544.1579720000009</v>
      </c>
      <c r="E31" s="5">
        <v>7455.0347460000003</v>
      </c>
      <c r="F31" s="5">
        <v>7365.8188769999997</v>
      </c>
      <c r="G31" t="s">
        <v>59</v>
      </c>
      <c r="H31" t="s">
        <v>136</v>
      </c>
    </row>
    <row r="32" spans="1:8" x14ac:dyDescent="0.25">
      <c r="A32" t="s">
        <v>216</v>
      </c>
      <c r="B32" t="s">
        <v>117</v>
      </c>
      <c r="D32" s="17">
        <v>11031.86</v>
      </c>
      <c r="E32" s="17">
        <v>10317.209999999999</v>
      </c>
      <c r="F32" s="17">
        <v>11857.84</v>
      </c>
    </row>
    <row r="33" spans="1:8" x14ac:dyDescent="0.25">
      <c r="A33" s="55" t="s">
        <v>143</v>
      </c>
      <c r="B33" s="55" t="s">
        <v>14</v>
      </c>
      <c r="D33" s="56">
        <v>-2.3199999999999998</v>
      </c>
      <c r="E33" s="56">
        <v>-2</v>
      </c>
      <c r="F33" s="56">
        <v>-0.7</v>
      </c>
    </row>
    <row r="34" spans="1:8" x14ac:dyDescent="0.25">
      <c r="A34" t="s">
        <v>137</v>
      </c>
      <c r="B34" t="s">
        <v>138</v>
      </c>
      <c r="C34" t="s">
        <v>139</v>
      </c>
      <c r="D34" s="5"/>
      <c r="E34" s="5"/>
      <c r="F34" s="5"/>
      <c r="G34" t="s">
        <v>35</v>
      </c>
      <c r="H34" t="s">
        <v>140</v>
      </c>
    </row>
    <row r="35" spans="1:8" x14ac:dyDescent="0.25">
      <c r="A35" t="s">
        <v>217</v>
      </c>
      <c r="B35" t="s">
        <v>14</v>
      </c>
      <c r="C35" t="s">
        <v>118</v>
      </c>
      <c r="D35" s="5">
        <v>9.5830878713299104</v>
      </c>
      <c r="E35" s="5">
        <v>8.5848500901763298</v>
      </c>
      <c r="F35" s="5">
        <v>8.4682459242629307</v>
      </c>
      <c r="G35" t="s">
        <v>22</v>
      </c>
      <c r="H35" t="s">
        <v>218</v>
      </c>
    </row>
    <row r="36" spans="1:8" x14ac:dyDescent="0.25">
      <c r="A36" t="s">
        <v>219</v>
      </c>
      <c r="B36" t="s">
        <v>14</v>
      </c>
      <c r="C36" t="s">
        <v>118</v>
      </c>
      <c r="D36" s="5">
        <v>90.416912128670106</v>
      </c>
      <c r="E36" s="5">
        <v>91.415149909823697</v>
      </c>
      <c r="F36" s="5">
        <v>91.531754075737098</v>
      </c>
      <c r="G36" t="s">
        <v>22</v>
      </c>
      <c r="H36" t="s">
        <v>220</v>
      </c>
    </row>
    <row r="37" spans="1:8" x14ac:dyDescent="0.25">
      <c r="A37" t="s">
        <v>144</v>
      </c>
      <c r="B37" t="s">
        <v>14</v>
      </c>
      <c r="C37" t="s">
        <v>118</v>
      </c>
      <c r="D37" s="5">
        <v>8.6045048014295507</v>
      </c>
      <c r="E37" s="5">
        <v>-10.5024360232687</v>
      </c>
      <c r="F37" s="5">
        <v>0.220857748725592</v>
      </c>
      <c r="G37" t="s">
        <v>35</v>
      </c>
      <c r="H37" t="s">
        <v>145</v>
      </c>
    </row>
    <row r="38" spans="1:8" x14ac:dyDescent="0.25">
      <c r="A38" t="s">
        <v>146</v>
      </c>
      <c r="B38" t="s">
        <v>14</v>
      </c>
      <c r="C38" t="s">
        <v>118</v>
      </c>
      <c r="D38" s="5">
        <v>-1.8092926219193</v>
      </c>
      <c r="E38" s="5">
        <v>-7.1418152205350003</v>
      </c>
      <c r="F38" s="5">
        <v>4.2073907329014197</v>
      </c>
      <c r="G38" t="s">
        <v>35</v>
      </c>
      <c r="H38" t="s">
        <v>147</v>
      </c>
    </row>
    <row r="39" spans="1:8" x14ac:dyDescent="0.25">
      <c r="A39" t="s">
        <v>148</v>
      </c>
      <c r="B39" t="s">
        <v>14</v>
      </c>
      <c r="C39" t="s">
        <v>118</v>
      </c>
      <c r="D39" s="5">
        <v>-3.94216209919048</v>
      </c>
      <c r="E39" s="5">
        <v>-15.0608510919244</v>
      </c>
      <c r="F39" s="5">
        <v>-9.2614933819319507</v>
      </c>
      <c r="G39" t="s">
        <v>35</v>
      </c>
      <c r="H39" t="s">
        <v>149</v>
      </c>
    </row>
    <row r="40" spans="1:8" x14ac:dyDescent="0.25">
      <c r="A40" t="s">
        <v>150</v>
      </c>
      <c r="B40" t="s">
        <v>14</v>
      </c>
      <c r="C40" t="s">
        <v>118</v>
      </c>
      <c r="D40" s="5">
        <v>-1.1297644737241499</v>
      </c>
      <c r="E40" s="5">
        <v>-17.1437764866549</v>
      </c>
      <c r="F40" s="5">
        <v>8.3875733165704496</v>
      </c>
      <c r="G40" t="s">
        <v>35</v>
      </c>
      <c r="H40" t="s">
        <v>151</v>
      </c>
    </row>
    <row r="41" spans="1:8" x14ac:dyDescent="0.25">
      <c r="A41" t="s">
        <v>152</v>
      </c>
      <c r="B41" t="s">
        <v>14</v>
      </c>
      <c r="C41" t="s">
        <v>118</v>
      </c>
      <c r="D41" s="5">
        <v>-2.0127877443094899</v>
      </c>
      <c r="E41" s="5">
        <v>-43.453103396849201</v>
      </c>
      <c r="F41" s="5">
        <v>-20.485375358706801</v>
      </c>
      <c r="G41" t="s">
        <v>35</v>
      </c>
      <c r="H41" t="s">
        <v>153</v>
      </c>
    </row>
    <row r="42" spans="1:8" x14ac:dyDescent="0.25">
      <c r="A42" t="s">
        <v>164</v>
      </c>
      <c r="B42" t="s">
        <v>59</v>
      </c>
      <c r="C42" t="s">
        <v>102</v>
      </c>
      <c r="D42" s="5">
        <v>0.42</v>
      </c>
      <c r="E42" s="5">
        <v>0.38</v>
      </c>
      <c r="F42" s="5">
        <v>0.36</v>
      </c>
      <c r="G42" t="s">
        <v>165</v>
      </c>
      <c r="H42" t="s">
        <v>166</v>
      </c>
    </row>
    <row r="43" spans="1:8" x14ac:dyDescent="0.25">
      <c r="A43" t="s">
        <v>167</v>
      </c>
      <c r="B43" t="s">
        <v>101</v>
      </c>
      <c r="C43" t="s">
        <v>102</v>
      </c>
      <c r="D43" s="37">
        <v>44</v>
      </c>
      <c r="E43" s="37">
        <v>40</v>
      </c>
      <c r="F43" s="37">
        <v>38</v>
      </c>
      <c r="G43" t="s">
        <v>168</v>
      </c>
      <c r="H43" t="s">
        <v>59</v>
      </c>
    </row>
    <row r="44" spans="1:8" x14ac:dyDescent="0.25">
      <c r="A44" t="s">
        <v>169</v>
      </c>
      <c r="B44" t="s">
        <v>101</v>
      </c>
      <c r="C44" t="s">
        <v>102</v>
      </c>
      <c r="D44" s="37">
        <v>106</v>
      </c>
      <c r="E44" s="37">
        <v>104</v>
      </c>
      <c r="F44" s="37">
        <v>105</v>
      </c>
      <c r="G44" t="s">
        <v>168</v>
      </c>
      <c r="H44" t="s">
        <v>59</v>
      </c>
    </row>
    <row r="45" spans="1:8" x14ac:dyDescent="0.25">
      <c r="A45" t="s">
        <v>221</v>
      </c>
      <c r="B45" t="s">
        <v>14</v>
      </c>
      <c r="C45" t="s">
        <v>102</v>
      </c>
      <c r="D45" s="5">
        <v>27.27</v>
      </c>
      <c r="E45" s="5">
        <v>32.5</v>
      </c>
      <c r="F45" s="5">
        <v>34.21</v>
      </c>
      <c r="G45" t="s">
        <v>59</v>
      </c>
      <c r="H45" t="s">
        <v>222</v>
      </c>
    </row>
    <row r="46" spans="1:8" x14ac:dyDescent="0.25">
      <c r="A46" t="s">
        <v>223</v>
      </c>
      <c r="B46" t="s">
        <v>14</v>
      </c>
      <c r="C46" t="s">
        <v>102</v>
      </c>
      <c r="D46" s="5">
        <v>4.55</v>
      </c>
      <c r="E46" s="5">
        <v>5</v>
      </c>
      <c r="F46" s="5">
        <v>7.89</v>
      </c>
      <c r="G46" t="s">
        <v>59</v>
      </c>
      <c r="H46" t="s">
        <v>224</v>
      </c>
    </row>
    <row r="47" spans="1:8" x14ac:dyDescent="0.25">
      <c r="A47" t="s">
        <v>225</v>
      </c>
      <c r="B47" t="s">
        <v>14</v>
      </c>
      <c r="C47" t="s">
        <v>102</v>
      </c>
      <c r="D47" s="5">
        <v>88.64</v>
      </c>
      <c r="E47" s="5">
        <v>85</v>
      </c>
      <c r="F47" s="5">
        <v>81.58</v>
      </c>
      <c r="G47" t="s">
        <v>59</v>
      </c>
      <c r="H47" t="s">
        <v>226</v>
      </c>
    </row>
    <row r="48" spans="1:8" x14ac:dyDescent="0.25">
      <c r="A48" t="s">
        <v>188</v>
      </c>
      <c r="B48" t="s">
        <v>59</v>
      </c>
      <c r="C48" t="s">
        <v>176</v>
      </c>
      <c r="D48" s="5">
        <v>7.0000000000000001E-3</v>
      </c>
      <c r="E48" s="5">
        <v>0</v>
      </c>
      <c r="F48" s="5">
        <v>0</v>
      </c>
      <c r="G48" t="s">
        <v>186</v>
      </c>
      <c r="H48" t="s">
        <v>189</v>
      </c>
    </row>
    <row r="49" spans="1:8" x14ac:dyDescent="0.25">
      <c r="A49" t="s">
        <v>190</v>
      </c>
      <c r="B49" t="s">
        <v>59</v>
      </c>
      <c r="C49" t="s">
        <v>176</v>
      </c>
      <c r="D49" s="5">
        <v>0</v>
      </c>
      <c r="E49" s="5">
        <v>0</v>
      </c>
      <c r="F49" s="5">
        <v>0</v>
      </c>
      <c r="G49" t="s">
        <v>191</v>
      </c>
      <c r="H49" t="s">
        <v>192</v>
      </c>
    </row>
    <row r="50" spans="1:8" x14ac:dyDescent="0.25">
      <c r="A50" t="s">
        <v>193</v>
      </c>
      <c r="B50" t="s">
        <v>59</v>
      </c>
      <c r="C50" t="s">
        <v>176</v>
      </c>
      <c r="D50" s="5">
        <v>0</v>
      </c>
      <c r="E50" s="5">
        <v>0</v>
      </c>
      <c r="F50" s="5">
        <v>0</v>
      </c>
      <c r="G50" t="s">
        <v>191</v>
      </c>
      <c r="H50" t="s">
        <v>194</v>
      </c>
    </row>
    <row r="51" spans="1:8" x14ac:dyDescent="0.25">
      <c r="A51" t="s">
        <v>195</v>
      </c>
      <c r="B51" t="s">
        <v>196</v>
      </c>
      <c r="C51" t="s">
        <v>176</v>
      </c>
      <c r="D51" s="5">
        <v>3159420.8591549299</v>
      </c>
      <c r="E51" s="5">
        <v>2001710.4710144899</v>
      </c>
      <c r="F51" s="5">
        <v>363589.67625899299</v>
      </c>
      <c r="G51" t="s">
        <v>39</v>
      </c>
      <c r="H51" t="s">
        <v>197</v>
      </c>
    </row>
    <row r="52" spans="1:8" x14ac:dyDescent="0.25">
      <c r="A52" t="s">
        <v>198</v>
      </c>
      <c r="B52" t="s">
        <v>196</v>
      </c>
      <c r="C52" t="s">
        <v>176</v>
      </c>
      <c r="D52" s="5">
        <v>0</v>
      </c>
      <c r="E52" s="5">
        <v>0</v>
      </c>
      <c r="F52" s="5">
        <v>0</v>
      </c>
      <c r="G52" t="s">
        <v>22</v>
      </c>
      <c r="H52" t="s">
        <v>199</v>
      </c>
    </row>
    <row r="53" spans="1:8" x14ac:dyDescent="0.25">
      <c r="A53" t="s">
        <v>200</v>
      </c>
      <c r="B53" t="s">
        <v>201</v>
      </c>
      <c r="C53" t="s">
        <v>176</v>
      </c>
      <c r="D53" s="5">
        <v>0</v>
      </c>
      <c r="E53" s="5">
        <v>0</v>
      </c>
      <c r="F53" s="5">
        <v>0</v>
      </c>
      <c r="G53" t="s">
        <v>202</v>
      </c>
      <c r="H53" t="s">
        <v>59</v>
      </c>
    </row>
    <row r="54" spans="1:8" x14ac:dyDescent="0.25">
      <c r="A54" t="s">
        <v>203</v>
      </c>
      <c r="B54" t="s">
        <v>204</v>
      </c>
      <c r="C54" t="s">
        <v>176</v>
      </c>
      <c r="D54" s="5">
        <v>2.8000000000000001E-2</v>
      </c>
      <c r="E54" s="5">
        <v>2.9000000000000001E-2</v>
      </c>
      <c r="F54" s="5">
        <v>0</v>
      </c>
      <c r="G54" t="s">
        <v>205</v>
      </c>
      <c r="H54" t="s">
        <v>59</v>
      </c>
    </row>
    <row r="55" spans="1:8" x14ac:dyDescent="0.25">
      <c r="A55" t="s">
        <v>206</v>
      </c>
      <c r="B55" t="s">
        <v>207</v>
      </c>
      <c r="C55" t="s">
        <v>176</v>
      </c>
      <c r="D55" s="5">
        <v>0.41099999999999998</v>
      </c>
      <c r="E55" s="5">
        <v>4.5999999999999999E-2</v>
      </c>
      <c r="F55" s="5">
        <v>0</v>
      </c>
      <c r="G55" t="s">
        <v>205</v>
      </c>
      <c r="H55" t="s">
        <v>59</v>
      </c>
    </row>
    <row r="56" spans="1:8" x14ac:dyDescent="0.25">
      <c r="A56" t="s">
        <v>208</v>
      </c>
      <c r="B56" t="s">
        <v>14</v>
      </c>
      <c r="C56" t="s">
        <v>176</v>
      </c>
      <c r="D56" s="5">
        <v>0</v>
      </c>
      <c r="E56" s="5">
        <v>0</v>
      </c>
      <c r="F56" s="5">
        <v>0</v>
      </c>
      <c r="G56" t="s">
        <v>59</v>
      </c>
      <c r="H56" t="s">
        <v>209</v>
      </c>
    </row>
    <row r="57" spans="1:8" x14ac:dyDescent="0.25">
      <c r="A57" t="s">
        <v>210</v>
      </c>
      <c r="B57" t="s">
        <v>14</v>
      </c>
      <c r="C57" t="s">
        <v>176</v>
      </c>
      <c r="D57" s="5">
        <v>11.11</v>
      </c>
      <c r="E57" s="5">
        <v>11.76</v>
      </c>
      <c r="F57" s="5">
        <v>2.94</v>
      </c>
      <c r="G57" t="s">
        <v>59</v>
      </c>
      <c r="H57" t="s">
        <v>211</v>
      </c>
    </row>
    <row r="58" spans="1:8" x14ac:dyDescent="0.25">
      <c r="A58" t="s">
        <v>212</v>
      </c>
      <c r="B58" t="s">
        <v>14</v>
      </c>
      <c r="C58" t="s">
        <v>15</v>
      </c>
      <c r="D58" s="49">
        <v>3.2062154263646798</v>
      </c>
      <c r="E58" s="49">
        <v>3.4162542000109299</v>
      </c>
      <c r="F58" s="49">
        <v>4.0404646664997896</v>
      </c>
      <c r="G58" t="s">
        <v>59</v>
      </c>
      <c r="H58" t="s">
        <v>213</v>
      </c>
    </row>
    <row r="59" spans="1:8" x14ac:dyDescent="0.25">
      <c r="A59" t="s">
        <v>214</v>
      </c>
      <c r="B59" t="s">
        <v>14</v>
      </c>
      <c r="C59" t="s">
        <v>15</v>
      </c>
      <c r="D59" s="49">
        <v>4.9507369106750296</v>
      </c>
      <c r="E59" s="49">
        <v>5.6086679413639304</v>
      </c>
      <c r="F59" s="49">
        <v>5.95863705712833</v>
      </c>
      <c r="G59" t="s">
        <v>59</v>
      </c>
      <c r="H59" t="s">
        <v>215</v>
      </c>
    </row>
    <row r="60" spans="1:8" x14ac:dyDescent="0.25">
      <c r="A60" t="s">
        <v>227</v>
      </c>
      <c r="B60" t="s">
        <v>207</v>
      </c>
      <c r="C60" t="s">
        <v>176</v>
      </c>
      <c r="D60" s="5">
        <v>0</v>
      </c>
      <c r="E60" s="5">
        <v>0</v>
      </c>
      <c r="F60" s="5">
        <v>0</v>
      </c>
      <c r="G60" t="s">
        <v>228</v>
      </c>
      <c r="H60" t="s">
        <v>59</v>
      </c>
    </row>
    <row r="61" spans="1:8" x14ac:dyDescent="0.25">
      <c r="A61" t="s">
        <v>229</v>
      </c>
      <c r="B61" t="s">
        <v>207</v>
      </c>
      <c r="C61" t="s">
        <v>176</v>
      </c>
      <c r="D61" s="5">
        <v>0</v>
      </c>
      <c r="E61" s="5">
        <v>0</v>
      </c>
      <c r="F61" s="5">
        <v>0</v>
      </c>
      <c r="G61" t="s">
        <v>228</v>
      </c>
      <c r="H61" t="s">
        <v>59</v>
      </c>
    </row>
    <row r="62" spans="1:8" x14ac:dyDescent="0.25">
      <c r="A62" t="s">
        <v>230</v>
      </c>
      <c r="B62" t="s">
        <v>207</v>
      </c>
      <c r="C62" t="s">
        <v>176</v>
      </c>
      <c r="D62" s="5">
        <v>0</v>
      </c>
      <c r="E62" s="5">
        <v>0</v>
      </c>
      <c r="F62" s="5">
        <v>0</v>
      </c>
      <c r="G62" t="s">
        <v>228</v>
      </c>
      <c r="H62" t="s">
        <v>59</v>
      </c>
    </row>
    <row r="63" spans="1:8" x14ac:dyDescent="0.25">
      <c r="A63" t="s">
        <v>231</v>
      </c>
      <c r="B63" t="s">
        <v>207</v>
      </c>
      <c r="C63" t="s">
        <v>176</v>
      </c>
      <c r="D63" s="5">
        <v>0</v>
      </c>
      <c r="E63" s="5">
        <v>0</v>
      </c>
      <c r="F63" s="5">
        <v>0</v>
      </c>
      <c r="G63" t="s">
        <v>228</v>
      </c>
      <c r="H63" t="s">
        <v>59</v>
      </c>
    </row>
    <row r="64" spans="1:8" x14ac:dyDescent="0.25">
      <c r="A64" t="s">
        <v>232</v>
      </c>
      <c r="B64" t="s">
        <v>207</v>
      </c>
      <c r="C64" t="s">
        <v>176</v>
      </c>
      <c r="D64" s="5">
        <v>1</v>
      </c>
      <c r="E64" s="5">
        <v>1</v>
      </c>
      <c r="F64" s="5">
        <v>1</v>
      </c>
      <c r="G64" t="s">
        <v>228</v>
      </c>
      <c r="H64" t="s">
        <v>59</v>
      </c>
    </row>
    <row r="65" spans="1:8" x14ac:dyDescent="0.25">
      <c r="A65" t="s">
        <v>233</v>
      </c>
      <c r="B65" t="s">
        <v>207</v>
      </c>
      <c r="C65" t="s">
        <v>176</v>
      </c>
      <c r="D65" s="5">
        <v>0</v>
      </c>
      <c r="E65" s="5">
        <v>0</v>
      </c>
      <c r="F65" s="5">
        <v>0</v>
      </c>
      <c r="G65" t="s">
        <v>228</v>
      </c>
      <c r="H65" t="s">
        <v>59</v>
      </c>
    </row>
    <row r="66" spans="1:8" x14ac:dyDescent="0.25">
      <c r="A66" t="s">
        <v>234</v>
      </c>
      <c r="B66" t="s">
        <v>207</v>
      </c>
      <c r="C66" t="s">
        <v>176</v>
      </c>
      <c r="D66" s="5">
        <v>0</v>
      </c>
      <c r="E66" s="5">
        <v>0</v>
      </c>
      <c r="F66" s="5">
        <v>0</v>
      </c>
      <c r="G66" t="s">
        <v>228</v>
      </c>
      <c r="H66" t="s">
        <v>59</v>
      </c>
    </row>
    <row r="67" spans="1:8" x14ac:dyDescent="0.25">
      <c r="A67" t="s">
        <v>235</v>
      </c>
      <c r="B67" t="s">
        <v>207</v>
      </c>
      <c r="C67" t="s">
        <v>176</v>
      </c>
      <c r="D67" s="5">
        <v>1</v>
      </c>
      <c r="E67" s="5">
        <v>1</v>
      </c>
      <c r="F67" s="5">
        <v>1</v>
      </c>
      <c r="G67" t="s">
        <v>228</v>
      </c>
      <c r="H67" t="s">
        <v>59</v>
      </c>
    </row>
    <row r="68" spans="1:8" x14ac:dyDescent="0.25">
      <c r="A68" t="s">
        <v>236</v>
      </c>
      <c r="B68" t="s">
        <v>207</v>
      </c>
      <c r="C68" t="s">
        <v>176</v>
      </c>
      <c r="D68" s="5">
        <v>0</v>
      </c>
      <c r="E68" s="5">
        <v>0</v>
      </c>
      <c r="F68" s="5">
        <v>0</v>
      </c>
      <c r="G68" t="s">
        <v>228</v>
      </c>
      <c r="H68" t="s">
        <v>59</v>
      </c>
    </row>
    <row r="69" spans="1:8" x14ac:dyDescent="0.25">
      <c r="A69" t="s">
        <v>237</v>
      </c>
      <c r="B69" t="s">
        <v>207</v>
      </c>
      <c r="C69" t="s">
        <v>176</v>
      </c>
      <c r="D69" s="5">
        <v>0</v>
      </c>
      <c r="E69" s="5">
        <v>0</v>
      </c>
      <c r="F69" s="5">
        <v>0</v>
      </c>
      <c r="G69" t="s">
        <v>228</v>
      </c>
      <c r="H69" t="s">
        <v>59</v>
      </c>
    </row>
    <row r="70" spans="1:8" x14ac:dyDescent="0.25">
      <c r="A70" t="s">
        <v>238</v>
      </c>
      <c r="B70" t="s">
        <v>207</v>
      </c>
      <c r="C70" t="s">
        <v>176</v>
      </c>
      <c r="D70" s="5">
        <v>0</v>
      </c>
      <c r="E70" s="5">
        <v>0</v>
      </c>
      <c r="F70" s="5">
        <v>0</v>
      </c>
      <c r="G70" t="s">
        <v>228</v>
      </c>
      <c r="H70" t="s">
        <v>59</v>
      </c>
    </row>
    <row r="71" spans="1:8" x14ac:dyDescent="0.25">
      <c r="A71" t="s">
        <v>239</v>
      </c>
      <c r="B71" t="s">
        <v>207</v>
      </c>
      <c r="C71" t="s">
        <v>176</v>
      </c>
      <c r="D71" s="5">
        <v>0</v>
      </c>
      <c r="E71" s="5">
        <v>0</v>
      </c>
      <c r="F71" s="5">
        <v>0</v>
      </c>
      <c r="G71" t="s">
        <v>228</v>
      </c>
      <c r="H71" t="s">
        <v>59</v>
      </c>
    </row>
    <row r="72" spans="1:8" x14ac:dyDescent="0.25">
      <c r="A72" t="s">
        <v>240</v>
      </c>
      <c r="B72" t="s">
        <v>59</v>
      </c>
      <c r="C72" t="s">
        <v>90</v>
      </c>
      <c r="D72" s="50" t="str">
        <f>[1]大心血管科!$O$4</f>
        <v>心绞痛</v>
      </c>
      <c r="E72" s="50" t="str">
        <f>[1]大心血管科!$I$4</f>
        <v>心绞痛</v>
      </c>
      <c r="F72" s="50" t="str">
        <f>[1]大心血管科!$C$4</f>
        <v>心绞痛</v>
      </c>
      <c r="G72" t="s">
        <v>59</v>
      </c>
      <c r="H72" t="s">
        <v>59</v>
      </c>
    </row>
    <row r="73" spans="1:8" x14ac:dyDescent="0.25">
      <c r="A73" t="s">
        <v>241</v>
      </c>
      <c r="B73" t="s">
        <v>59</v>
      </c>
      <c r="C73" t="s">
        <v>90</v>
      </c>
      <c r="D73" s="50" t="str">
        <f>[1]大心血管科!$N$4</f>
        <v>I20</v>
      </c>
      <c r="E73" s="50" t="str">
        <f>[1]大心血管科!$H$4</f>
        <v>I20</v>
      </c>
      <c r="F73" s="50" t="str">
        <f>[1]大心血管科!$B$4</f>
        <v>I20</v>
      </c>
      <c r="G73" t="s">
        <v>59</v>
      </c>
      <c r="H73" t="s">
        <v>59</v>
      </c>
    </row>
    <row r="74" spans="1:8" x14ac:dyDescent="0.25">
      <c r="A74" t="s">
        <v>242</v>
      </c>
      <c r="B74" t="s">
        <v>14</v>
      </c>
      <c r="C74" t="s">
        <v>90</v>
      </c>
      <c r="D74" s="50">
        <f>[1]大心血管科!$Q$4</f>
        <v>20.560214966208001</v>
      </c>
      <c r="E74" s="50">
        <f>[1]大心血管科!$K$4</f>
        <v>19.1295638714377</v>
      </c>
      <c r="F74" s="50">
        <f>[1]大心血管科!$E$4</f>
        <v>18.655704356670601</v>
      </c>
      <c r="G74" t="s">
        <v>59</v>
      </c>
      <c r="H74" t="s">
        <v>59</v>
      </c>
    </row>
    <row r="75" spans="1:8" x14ac:dyDescent="0.25">
      <c r="A75" t="s">
        <v>243</v>
      </c>
      <c r="B75" t="s">
        <v>59</v>
      </c>
      <c r="C75" t="s">
        <v>90</v>
      </c>
      <c r="D75" s="50" t="str">
        <f>[1]大心血管科!$O$5</f>
        <v>冠状动脉粥样硬化性心脏病</v>
      </c>
      <c r="E75" s="50" t="str">
        <f>[1]大心血管科!$I$5</f>
        <v>冠状动脉粥样硬化性心脏病</v>
      </c>
      <c r="F75" s="50" t="str">
        <f>[1]大心血管科!$C$5</f>
        <v>冠状动脉粥样硬化性心脏病</v>
      </c>
      <c r="G75" t="s">
        <v>59</v>
      </c>
      <c r="H75" t="s">
        <v>59</v>
      </c>
    </row>
    <row r="76" spans="1:8" x14ac:dyDescent="0.25">
      <c r="A76" t="s">
        <v>244</v>
      </c>
      <c r="B76" t="s">
        <v>59</v>
      </c>
      <c r="C76" t="s">
        <v>90</v>
      </c>
      <c r="D76" s="50" t="str">
        <f>[1]大心血管科!$N$5</f>
        <v>I25.1</v>
      </c>
      <c r="E76" s="50" t="str">
        <f>[1]大心血管科!$H$5</f>
        <v>I25.1</v>
      </c>
      <c r="F76" s="50" t="str">
        <f>[1]大心血管科!$B$5</f>
        <v>I25.1</v>
      </c>
      <c r="G76" t="s">
        <v>59</v>
      </c>
      <c r="H76" t="s">
        <v>59</v>
      </c>
    </row>
    <row r="77" spans="1:8" x14ac:dyDescent="0.25">
      <c r="A77" t="s">
        <v>245</v>
      </c>
      <c r="B77" t="s">
        <v>14</v>
      </c>
      <c r="C77" t="s">
        <v>90</v>
      </c>
      <c r="D77" s="50">
        <f>[1]大心血管科!$Q$5</f>
        <v>13.907662242488399</v>
      </c>
      <c r="E77" s="50">
        <f>[1]大心血管科!$K$5</f>
        <v>13.1931166347992</v>
      </c>
      <c r="F77" s="50">
        <f>[1]大心血管科!$E$5</f>
        <v>13.5107645363621</v>
      </c>
      <c r="G77" t="s">
        <v>59</v>
      </c>
      <c r="H77" t="s">
        <v>59</v>
      </c>
    </row>
    <row r="78" spans="1:8" x14ac:dyDescent="0.25">
      <c r="A78" t="s">
        <v>246</v>
      </c>
      <c r="B78" t="s">
        <v>59</v>
      </c>
      <c r="C78" t="s">
        <v>90</v>
      </c>
      <c r="D78" s="50" t="str">
        <f>[1]大心血管科!$O$6</f>
        <v>急性心肌梗死</v>
      </c>
      <c r="E78" s="50" t="str">
        <f>[1]大心血管科!$I$6</f>
        <v>急性心肌梗死</v>
      </c>
      <c r="F78" s="50" t="str">
        <f>[1]大心血管科!$C$6</f>
        <v>急性心肌梗死</v>
      </c>
      <c r="G78" t="s">
        <v>59</v>
      </c>
      <c r="H78" t="s">
        <v>59</v>
      </c>
    </row>
    <row r="79" spans="1:8" x14ac:dyDescent="0.25">
      <c r="A79" t="s">
        <v>247</v>
      </c>
      <c r="B79" t="s">
        <v>59</v>
      </c>
      <c r="C79" t="s">
        <v>90</v>
      </c>
      <c r="D79" s="50" t="str">
        <f>[1]大心血管科!$N$6</f>
        <v>I21</v>
      </c>
      <c r="E79" s="50" t="str">
        <f>[1]大心血管科!$H$6</f>
        <v>I21</v>
      </c>
      <c r="F79" s="50" t="str">
        <f>[1]大心血管科!$B$6</f>
        <v>I21</v>
      </c>
      <c r="G79" t="s">
        <v>59</v>
      </c>
      <c r="H79" t="s">
        <v>59</v>
      </c>
    </row>
    <row r="80" spans="1:8" x14ac:dyDescent="0.25">
      <c r="A80" t="s">
        <v>248</v>
      </c>
      <c r="B80" t="s">
        <v>14</v>
      </c>
      <c r="C80" t="s">
        <v>90</v>
      </c>
      <c r="D80" s="50">
        <f>[1]大心血管科!$Q$6</f>
        <v>10.162038921911901</v>
      </c>
      <c r="E80" s="50">
        <f>[1]大心血管科!$K$6</f>
        <v>11.344805608667899</v>
      </c>
      <c r="F80" s="50">
        <f>[1]大心血管科!$E$6</f>
        <v>10.5865400915409</v>
      </c>
      <c r="G80" t="s">
        <v>59</v>
      </c>
      <c r="H80" t="s">
        <v>59</v>
      </c>
    </row>
    <row r="81" spans="1:8" x14ac:dyDescent="0.25">
      <c r="A81" t="s">
        <v>249</v>
      </c>
      <c r="B81" t="s">
        <v>59</v>
      </c>
      <c r="C81" t="s">
        <v>90</v>
      </c>
      <c r="D81" s="50" t="str">
        <f>[1]大心血管科!$O$7</f>
        <v>瓣膜心内膜炎</v>
      </c>
      <c r="E81" s="50" t="str">
        <f>[1]大心血管科!$I$7</f>
        <v>脑梗死</v>
      </c>
      <c r="F81" s="50" t="str">
        <f>[1]大心血管科!$C$7</f>
        <v>脑梗死</v>
      </c>
      <c r="G81" t="s">
        <v>59</v>
      </c>
      <c r="H81" t="s">
        <v>59</v>
      </c>
    </row>
    <row r="82" spans="1:8" x14ac:dyDescent="0.25">
      <c r="A82" t="s">
        <v>250</v>
      </c>
      <c r="B82" t="s">
        <v>59</v>
      </c>
      <c r="C82" t="s">
        <v>90</v>
      </c>
      <c r="D82" s="50" t="str">
        <f>[1]大心血管科!$N$7</f>
        <v>I38</v>
      </c>
      <c r="E82" s="50" t="str">
        <f>[1]大心血管科!$H$7</f>
        <v>I63</v>
      </c>
      <c r="F82" s="50" t="str">
        <f>[1]大心血管科!$B$7</f>
        <v>I63</v>
      </c>
      <c r="G82" t="s">
        <v>59</v>
      </c>
      <c r="H82" t="s">
        <v>59</v>
      </c>
    </row>
    <row r="83" spans="1:8" x14ac:dyDescent="0.25">
      <c r="A83" t="s">
        <v>251</v>
      </c>
      <c r="B83" t="s">
        <v>14</v>
      </c>
      <c r="C83" t="s">
        <v>90</v>
      </c>
      <c r="D83" s="50">
        <f>[1]大心血管科!$Q$7</f>
        <v>4.2748961810927497</v>
      </c>
      <c r="E83" s="50">
        <f>[1]大心血管科!$K$7</f>
        <v>4.1427660930528996</v>
      </c>
      <c r="F83" s="50">
        <f>[1]大心血管科!$E$7</f>
        <v>5.2975080522122404</v>
      </c>
      <c r="G83" t="s">
        <v>59</v>
      </c>
      <c r="H83" t="s">
        <v>59</v>
      </c>
    </row>
    <row r="84" spans="1:8" x14ac:dyDescent="0.25">
      <c r="A84" t="s">
        <v>252</v>
      </c>
      <c r="B84" t="s">
        <v>59</v>
      </c>
      <c r="C84" t="s">
        <v>90</v>
      </c>
      <c r="D84" s="50" t="str">
        <f>[1]大心血管科!$O$8</f>
        <v>脑梗死</v>
      </c>
      <c r="E84" s="50" t="str">
        <f>[1]大心血管科!$I$8</f>
        <v>心力衰竭</v>
      </c>
      <c r="F84" s="50" t="str">
        <f>[1]大心血管科!$C$8</f>
        <v>特发性(原发性)高血压</v>
      </c>
      <c r="G84" t="s">
        <v>59</v>
      </c>
      <c r="H84" t="s">
        <v>59</v>
      </c>
    </row>
    <row r="85" spans="1:8" x14ac:dyDescent="0.25">
      <c r="A85" t="s">
        <v>253</v>
      </c>
      <c r="B85" t="s">
        <v>59</v>
      </c>
      <c r="C85" t="s">
        <v>90</v>
      </c>
      <c r="D85" s="50" t="str">
        <f>[1]大心血管科!$N$8</f>
        <v>I63</v>
      </c>
      <c r="E85" s="50" t="str">
        <f>[1]大心血管科!$H$8</f>
        <v>I50</v>
      </c>
      <c r="F85" s="50" t="str">
        <f>[1]大心血管科!$B$8</f>
        <v>I10</v>
      </c>
      <c r="G85" t="s">
        <v>59</v>
      </c>
      <c r="H85" t="s">
        <v>59</v>
      </c>
    </row>
    <row r="86" spans="1:8" x14ac:dyDescent="0.25">
      <c r="A86" t="s">
        <v>254</v>
      </c>
      <c r="B86" t="s">
        <v>14</v>
      </c>
      <c r="C86" t="s">
        <v>90</v>
      </c>
      <c r="D86" s="50">
        <f>[1]大心血管科!$Q$8</f>
        <v>3.4850582200146598</v>
      </c>
      <c r="E86" s="50">
        <f>[1]大心血管科!$K$8</f>
        <v>3.42347263953382</v>
      </c>
      <c r="F86" s="50">
        <f>[1]大心血管科!$E$8</f>
        <v>4.14477030005086</v>
      </c>
      <c r="G86" t="s">
        <v>59</v>
      </c>
      <c r="H86" t="s">
        <v>59</v>
      </c>
    </row>
    <row r="87" spans="1:8" x14ac:dyDescent="0.25">
      <c r="A87" t="s">
        <v>255</v>
      </c>
      <c r="B87" t="s">
        <v>59</v>
      </c>
      <c r="C87" t="s">
        <v>90</v>
      </c>
      <c r="D87" s="51" t="str">
        <f>[2]大心血管科!$O$4</f>
        <v>药物洗脱冠状动脉支架置入</v>
      </c>
      <c r="E87" s="51" t="str">
        <f>[2]大心血管科!$I$4</f>
        <v>药物洗脱冠状动脉支架植入术</v>
      </c>
      <c r="F87" s="51" t="str">
        <f>[2]大心血管科!$C$4</f>
        <v>药物洗脱冠状动脉支架植入术</v>
      </c>
      <c r="G87" t="s">
        <v>59</v>
      </c>
      <c r="H87" t="s">
        <v>59</v>
      </c>
    </row>
    <row r="88" spans="1:8" x14ac:dyDescent="0.25">
      <c r="A88" t="s">
        <v>256</v>
      </c>
      <c r="B88" t="s">
        <v>59</v>
      </c>
      <c r="C88" t="s">
        <v>90</v>
      </c>
      <c r="D88" s="52">
        <f>[2]大心血管科!$N$4</f>
        <v>36.07</v>
      </c>
      <c r="E88" s="52">
        <f>[2]大心血管科!$H$4</f>
        <v>36.07</v>
      </c>
      <c r="F88" s="52" t="str">
        <f>[2]大心血管科!$B$4</f>
        <v>36.07</v>
      </c>
      <c r="G88" t="s">
        <v>59</v>
      </c>
      <c r="H88" t="s">
        <v>59</v>
      </c>
    </row>
    <row r="89" spans="1:8" x14ac:dyDescent="0.25">
      <c r="A89" t="s">
        <v>257</v>
      </c>
      <c r="B89" t="s">
        <v>14</v>
      </c>
      <c r="C89" t="s">
        <v>90</v>
      </c>
      <c r="D89" s="53">
        <f>[2]大心血管科!$Q$4</f>
        <v>14.96</v>
      </c>
      <c r="E89" s="53">
        <f>[2]大心血管科!$K$4</f>
        <v>76.870163370593303</v>
      </c>
      <c r="F89" s="53">
        <f>[2]大心血管科!$E$4</f>
        <v>76.104513064133002</v>
      </c>
      <c r="G89" t="s">
        <v>59</v>
      </c>
      <c r="H89" t="s">
        <v>59</v>
      </c>
    </row>
    <row r="90" spans="1:8" x14ac:dyDescent="0.25">
      <c r="A90" t="s">
        <v>258</v>
      </c>
      <c r="B90" t="s">
        <v>59</v>
      </c>
      <c r="C90" t="s">
        <v>90</v>
      </c>
      <c r="D90" s="54" t="str">
        <f>[2]大心血管科!$O$5</f>
        <v>冠状动脉药物涂层支架置入术</v>
      </c>
      <c r="E90" s="54" t="str">
        <f>[2]大心血管科!$I$5</f>
        <v>心脏病损腔内消融术</v>
      </c>
      <c r="F90" s="54" t="str">
        <f>[2]大心血管科!$C$5</f>
        <v>心脏病损腔内消融术</v>
      </c>
      <c r="G90" t="s">
        <v>59</v>
      </c>
      <c r="H90" t="s">
        <v>59</v>
      </c>
    </row>
    <row r="91" spans="1:8" x14ac:dyDescent="0.25">
      <c r="A91" t="s">
        <v>259</v>
      </c>
      <c r="B91" t="s">
        <v>59</v>
      </c>
      <c r="C91" t="s">
        <v>90</v>
      </c>
      <c r="D91" s="52">
        <f>[2]大心血管科!$N$5</f>
        <v>36.06</v>
      </c>
      <c r="E91" s="52">
        <f>[2]大心血管科!$H$5</f>
        <v>37.340000000000003</v>
      </c>
      <c r="F91" s="52" t="str">
        <f>[2]大心血管科!$B$5</f>
        <v>37.34</v>
      </c>
      <c r="G91" t="s">
        <v>59</v>
      </c>
      <c r="H91" t="s">
        <v>59</v>
      </c>
    </row>
    <row r="92" spans="1:8" x14ac:dyDescent="0.25">
      <c r="A92" t="s">
        <v>260</v>
      </c>
      <c r="B92" t="s">
        <v>14</v>
      </c>
      <c r="C92" t="s">
        <v>90</v>
      </c>
      <c r="D92" s="53">
        <f>[2]大心血管科!$Q$5</f>
        <v>1.7</v>
      </c>
      <c r="E92" s="53">
        <f>[2]大心血管科!$K$5</f>
        <v>5.9329320722269996</v>
      </c>
      <c r="F92" s="53">
        <f>[2]大心血管科!$E$5</f>
        <v>7.6959619952494096</v>
      </c>
      <c r="G92" t="s">
        <v>59</v>
      </c>
      <c r="H92" t="s">
        <v>59</v>
      </c>
    </row>
    <row r="93" spans="1:8" x14ac:dyDescent="0.25">
      <c r="A93" t="s">
        <v>261</v>
      </c>
      <c r="B93" t="s">
        <v>59</v>
      </c>
      <c r="C93" t="s">
        <v>90</v>
      </c>
      <c r="D93" s="54" t="str">
        <f>[2]大心血管科!$O$6</f>
        <v>经导管心脏射频消融术</v>
      </c>
      <c r="E93" s="54" t="str">
        <f>[2]大心血管科!$I$6</f>
        <v>胸主动脉移植物的血管腔内植入术</v>
      </c>
      <c r="F93" s="54" t="str">
        <f>[2]大心血管科!$C$6</f>
        <v>胸主动脉支架植入术</v>
      </c>
      <c r="G93" t="s">
        <v>59</v>
      </c>
      <c r="H93" t="s">
        <v>59</v>
      </c>
    </row>
    <row r="94" spans="1:8" x14ac:dyDescent="0.25">
      <c r="A94" t="s">
        <v>262</v>
      </c>
      <c r="B94" t="s">
        <v>59</v>
      </c>
      <c r="C94" t="s">
        <v>90</v>
      </c>
      <c r="D94" s="52">
        <f>[2]大心血管科!$N$6</f>
        <v>37.340000000000003</v>
      </c>
      <c r="E94" s="52">
        <f>[2]大心血管科!$H$6</f>
        <v>39.729999999999997</v>
      </c>
      <c r="F94" s="52" t="str">
        <f>[2]大心血管科!$B$6</f>
        <v>39.73</v>
      </c>
      <c r="G94" t="s">
        <v>59</v>
      </c>
      <c r="H94" t="s">
        <v>59</v>
      </c>
    </row>
    <row r="95" spans="1:8" x14ac:dyDescent="0.25">
      <c r="A95" t="s">
        <v>263</v>
      </c>
      <c r="B95" t="s">
        <v>14</v>
      </c>
      <c r="C95" t="s">
        <v>90</v>
      </c>
      <c r="D95" s="53">
        <f>[2]大心血管科!$Q$6</f>
        <v>1.66</v>
      </c>
      <c r="E95" s="53">
        <f>[2]大心血管科!$K$6</f>
        <v>2.7085124677558001</v>
      </c>
      <c r="F95" s="53">
        <f>[2]大心血管科!$E$6</f>
        <v>2.5178147268408502</v>
      </c>
      <c r="G95" t="s">
        <v>59</v>
      </c>
      <c r="H95" t="s">
        <v>59</v>
      </c>
    </row>
    <row r="96" spans="1:8" x14ac:dyDescent="0.25">
      <c r="A96" t="s">
        <v>264</v>
      </c>
      <c r="B96" t="s">
        <v>59</v>
      </c>
      <c r="C96" t="s">
        <v>90</v>
      </c>
      <c r="D96" s="53" t="str">
        <f>[2]大心血管科!$O$7</f>
        <v>二尖瓣机械瓣膜置换术</v>
      </c>
      <c r="E96" s="53" t="str">
        <f>[2]大心血管科!$I$7</f>
        <v>二尖瓣机械瓣膜置换术</v>
      </c>
      <c r="F96" s="53" t="str">
        <f>[2]大心血管科!$C$7</f>
        <v>二尖瓣机械瓣膜置换术</v>
      </c>
      <c r="G96" t="s">
        <v>59</v>
      </c>
      <c r="H96" t="s">
        <v>59</v>
      </c>
    </row>
    <row r="97" spans="1:8" x14ac:dyDescent="0.25">
      <c r="A97" t="s">
        <v>265</v>
      </c>
      <c r="B97" t="s">
        <v>59</v>
      </c>
      <c r="C97" t="s">
        <v>90</v>
      </c>
      <c r="D97" s="54">
        <f>[2]大心血管科!$N$7</f>
        <v>35.24</v>
      </c>
      <c r="E97" s="54">
        <f>[2]大心血管科!$H$7</f>
        <v>35.24</v>
      </c>
      <c r="F97" s="54" t="str">
        <f>[2]大心血管科!$B$7</f>
        <v>35.24</v>
      </c>
      <c r="G97" t="s">
        <v>59</v>
      </c>
      <c r="H97" t="s">
        <v>59</v>
      </c>
    </row>
    <row r="98" spans="1:8" x14ac:dyDescent="0.25">
      <c r="A98" t="s">
        <v>266</v>
      </c>
      <c r="B98" t="s">
        <v>14</v>
      </c>
      <c r="C98" t="s">
        <v>90</v>
      </c>
      <c r="D98" s="52">
        <f>[2]大心血管科!$Q$7</f>
        <v>0.72</v>
      </c>
      <c r="E98" s="52">
        <f>[2]大心血管科!$K$7</f>
        <v>1.8056749785038699</v>
      </c>
      <c r="F98" s="52">
        <f>[2]大心血管科!$E$7</f>
        <v>1.75771971496437</v>
      </c>
      <c r="G98" t="s">
        <v>59</v>
      </c>
      <c r="H98" t="s">
        <v>59</v>
      </c>
    </row>
    <row r="99" spans="1:8" x14ac:dyDescent="0.25">
      <c r="A99" t="s">
        <v>267</v>
      </c>
      <c r="B99" t="s">
        <v>59</v>
      </c>
      <c r="C99" t="s">
        <v>90</v>
      </c>
      <c r="D99" s="53" t="str">
        <f>[2]大心血管科!$O$8</f>
        <v>胸主动脉覆膜支架腔内隔绝术</v>
      </c>
      <c r="E99" s="53" t="str">
        <f>[2]大心血管科!$I$8</f>
        <v>下腔静脉滤器植入术</v>
      </c>
      <c r="F99" s="53" t="str">
        <f>[2]大心血管科!$C$8</f>
        <v>冠状动脉血管腔内成形术(PTCA)</v>
      </c>
      <c r="G99" t="s">
        <v>59</v>
      </c>
      <c r="H99" t="s">
        <v>59</v>
      </c>
    </row>
    <row r="100" spans="1:8" x14ac:dyDescent="0.25">
      <c r="A100" t="s">
        <v>268</v>
      </c>
      <c r="B100" t="s">
        <v>59</v>
      </c>
      <c r="C100" t="s">
        <v>90</v>
      </c>
      <c r="D100" s="50">
        <f>[2]大心血管科!$N$8</f>
        <v>39.729999999999997</v>
      </c>
      <c r="E100" s="50" t="str">
        <f>[2]大心血管科!$H$8</f>
        <v>38.70</v>
      </c>
      <c r="F100" s="50" t="str">
        <f>[2]大心血管科!$B$8</f>
        <v>00.66</v>
      </c>
      <c r="G100" t="s">
        <v>59</v>
      </c>
      <c r="H100" t="s">
        <v>59</v>
      </c>
    </row>
    <row r="101" spans="1:8" x14ac:dyDescent="0.25">
      <c r="A101" t="s">
        <v>269</v>
      </c>
      <c r="B101" t="s">
        <v>14</v>
      </c>
      <c r="C101" t="s">
        <v>90</v>
      </c>
      <c r="D101" s="50">
        <f>[2]大心血管科!$Q$8</f>
        <v>0.52</v>
      </c>
      <c r="E101" s="50">
        <f>[2]大心血管科!$K$8</f>
        <v>1.20378331900258</v>
      </c>
      <c r="F101" s="50">
        <f>[2]大心血管科!$E$8</f>
        <v>1.33016627078385</v>
      </c>
      <c r="G101" t="s">
        <v>59</v>
      </c>
      <c r="H101" t="s">
        <v>59</v>
      </c>
    </row>
  </sheetData>
  <phoneticPr fontId="10" type="noConversion"/>
  <conditionalFormatting sqref="D88">
    <cfRule type="duplicateValues" dxfId="291" priority="15"/>
  </conditionalFormatting>
  <conditionalFormatting sqref="E88">
    <cfRule type="duplicateValues" dxfId="290" priority="4"/>
  </conditionalFormatting>
  <conditionalFormatting sqref="F88">
    <cfRule type="duplicateValues" dxfId="289" priority="8"/>
  </conditionalFormatting>
  <conditionalFormatting sqref="D91">
    <cfRule type="duplicateValues" dxfId="288" priority="14"/>
  </conditionalFormatting>
  <conditionalFormatting sqref="E91">
    <cfRule type="duplicateValues" dxfId="287" priority="3"/>
  </conditionalFormatting>
  <conditionalFormatting sqref="F91">
    <cfRule type="duplicateValues" dxfId="286" priority="7"/>
  </conditionalFormatting>
  <conditionalFormatting sqref="D94">
    <cfRule type="duplicateValues" dxfId="285" priority="9"/>
  </conditionalFormatting>
  <conditionalFormatting sqref="E94">
    <cfRule type="duplicateValues" dxfId="284" priority="1"/>
  </conditionalFormatting>
  <conditionalFormatting sqref="F94">
    <cfRule type="duplicateValues" dxfId="283" priority="5"/>
  </conditionalFormatting>
  <conditionalFormatting sqref="D98">
    <cfRule type="duplicateValues" dxfId="282" priority="10"/>
  </conditionalFormatting>
  <conditionalFormatting sqref="E98">
    <cfRule type="duplicateValues" dxfId="281" priority="2"/>
  </conditionalFormatting>
  <conditionalFormatting sqref="F98">
    <cfRule type="duplicateValues" dxfId="280" priority="6"/>
  </conditionalFormatting>
  <pageMargins left="0.69930555555555596" right="0.69930555555555596" top="0.75" bottom="0.75" header="0.3" footer="0.3"/>
  <ignoredErrors>
    <ignoredError sqref="A1:H1 A73:B101 A2:B2 G2:H2 A3:B5 G3:H5 A6:B6 G6:H6 A7:B7 G7:H7 A8:B9 G8:H9 A10:B10 G10:H10 A11:B11 G11:H11 A12:B13 G12:H13 A14:B14 G14:H14 A15:B15 G15:H15 A16:B16 G16:H16 A17:B17 G17:H17 A18:B18 G18:H18 A19:B20 G19:H20 A21:B21 G21:H21 A22:B22 G22:H22 A23:B23 G23:H23 A24:B31 G24:H31 A34:B34 G34:H34 A35:B35 G35:H35 A36:B41 G36:H41 A42:B42 G42:H42 A43:B47 G43:H47 A48:B48 G48:H48 A49:B57 G49:H57 A58:B58 G58:H58 A59:B59 G59:H59 A60:B60 G60:H60 A61:B71 G61:H71 A72:B72 G72:H72 G73:H73 G74:H74 G75:H75 G76:H76 G77:H77 G78:H78 G79:H79 G80:H80 G81:H81 G82:H82 G83:H83 G84:H84 G85:H85 G86:H86 G87:H87 G88:H10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18"/>
  <sheetViews>
    <sheetView tabSelected="1" workbookViewId="0">
      <pane ySplit="1" topLeftCell="A32" activePane="bottomLeft" state="frozen"/>
      <selection pane="bottomLeft" activeCell="F33" sqref="F33"/>
    </sheetView>
  </sheetViews>
  <sheetFormatPr defaultColWidth="9" defaultRowHeight="15" x14ac:dyDescent="0.25"/>
  <cols>
    <col min="1" max="1" width="28" customWidth="1"/>
    <col min="2" max="2" width="11" customWidth="1"/>
    <col min="3" max="3" width="9" customWidth="1"/>
    <col min="4" max="6" width="11.58203125"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21.647609147609099</v>
      </c>
      <c r="E2" s="5">
        <v>19.818164232517699</v>
      </c>
      <c r="F2" s="5">
        <v>16.767933254738399</v>
      </c>
      <c r="G2" t="s">
        <v>16</v>
      </c>
      <c r="H2" t="s">
        <v>17</v>
      </c>
    </row>
    <row r="3" spans="1:8" x14ac:dyDescent="0.25">
      <c r="A3" t="s">
        <v>18</v>
      </c>
      <c r="B3" t="s">
        <v>14</v>
      </c>
      <c r="C3" t="s">
        <v>15</v>
      </c>
      <c r="D3" s="5">
        <v>0.120048019207683</v>
      </c>
      <c r="E3" s="5">
        <v>4.8804294777940502E-2</v>
      </c>
      <c r="F3" s="5">
        <v>0.108166576527853</v>
      </c>
      <c r="G3" t="s">
        <v>19</v>
      </c>
      <c r="H3" t="s">
        <v>20</v>
      </c>
    </row>
    <row r="4" spans="1:8" x14ac:dyDescent="0.25">
      <c r="A4" t="s">
        <v>21</v>
      </c>
      <c r="B4" t="s">
        <v>14</v>
      </c>
      <c r="C4" t="s">
        <v>15</v>
      </c>
      <c r="D4" s="5">
        <v>1.52060824329732</v>
      </c>
      <c r="E4" s="5">
        <v>0.92728160078086896</v>
      </c>
      <c r="F4" s="5">
        <v>1.24391563007031</v>
      </c>
      <c r="G4" t="s">
        <v>22</v>
      </c>
      <c r="H4" t="s">
        <v>23</v>
      </c>
    </row>
    <row r="5" spans="1:8" x14ac:dyDescent="0.25">
      <c r="A5" t="s">
        <v>24</v>
      </c>
      <c r="B5" t="s">
        <v>14</v>
      </c>
      <c r="C5" t="s">
        <v>15</v>
      </c>
      <c r="D5" s="5">
        <v>99.4</v>
      </c>
      <c r="E5" s="5">
        <v>99.39</v>
      </c>
      <c r="F5" s="5">
        <v>98.29</v>
      </c>
      <c r="G5" t="s">
        <v>25</v>
      </c>
      <c r="H5" t="s">
        <v>26</v>
      </c>
    </row>
    <row r="6" spans="1:8" x14ac:dyDescent="0.25">
      <c r="A6" t="s">
        <v>33</v>
      </c>
      <c r="B6" t="s">
        <v>14</v>
      </c>
      <c r="C6" t="s">
        <v>34</v>
      </c>
      <c r="D6" s="5">
        <v>0</v>
      </c>
      <c r="E6" s="5">
        <v>0</v>
      </c>
      <c r="F6" s="5">
        <v>0</v>
      </c>
      <c r="G6" t="s">
        <v>35</v>
      </c>
      <c r="H6" t="s">
        <v>36</v>
      </c>
    </row>
    <row r="7" spans="1:8" x14ac:dyDescent="0.25">
      <c r="A7" t="s">
        <v>37</v>
      </c>
      <c r="B7" t="s">
        <v>14</v>
      </c>
      <c r="C7" t="s">
        <v>34</v>
      </c>
      <c r="D7" s="5">
        <v>0</v>
      </c>
      <c r="E7" s="5">
        <v>0</v>
      </c>
      <c r="F7" s="5">
        <v>0.04</v>
      </c>
      <c r="G7" t="s">
        <v>39</v>
      </c>
      <c r="H7" t="s">
        <v>40</v>
      </c>
    </row>
    <row r="8" spans="1:8" x14ac:dyDescent="0.25">
      <c r="A8" t="s">
        <v>41</v>
      </c>
      <c r="B8" t="s">
        <v>14</v>
      </c>
      <c r="C8" t="s">
        <v>10</v>
      </c>
      <c r="D8" s="5"/>
      <c r="E8" s="5"/>
      <c r="F8" s="5"/>
      <c r="G8" t="s">
        <v>39</v>
      </c>
      <c r="H8" t="s">
        <v>44</v>
      </c>
    </row>
    <row r="9" spans="1:8" x14ac:dyDescent="0.25">
      <c r="A9" t="s">
        <v>51</v>
      </c>
      <c r="B9" t="s">
        <v>14</v>
      </c>
      <c r="C9" t="s">
        <v>34</v>
      </c>
      <c r="D9" s="5">
        <v>0</v>
      </c>
      <c r="E9" s="5">
        <v>0</v>
      </c>
      <c r="F9" s="5">
        <v>0</v>
      </c>
      <c r="G9" t="s">
        <v>19</v>
      </c>
      <c r="H9" t="s">
        <v>52</v>
      </c>
    </row>
    <row r="10" spans="1:8" x14ac:dyDescent="0.25">
      <c r="A10" t="s">
        <v>57</v>
      </c>
      <c r="B10" t="s">
        <v>14</v>
      </c>
      <c r="C10" t="s">
        <v>38</v>
      </c>
      <c r="D10" s="5">
        <v>0.34</v>
      </c>
      <c r="E10" s="5">
        <v>0.44</v>
      </c>
      <c r="F10" s="5">
        <v>0.66</v>
      </c>
      <c r="G10" t="s">
        <v>58</v>
      </c>
      <c r="H10" t="s">
        <v>59</v>
      </c>
    </row>
    <row r="11" spans="1:8" x14ac:dyDescent="0.25">
      <c r="A11" t="s">
        <v>63</v>
      </c>
      <c r="B11" t="s">
        <v>64</v>
      </c>
      <c r="C11" t="s">
        <v>61</v>
      </c>
      <c r="D11" s="5">
        <v>18.210171273211099</v>
      </c>
      <c r="E11" s="5">
        <v>17.582223080598801</v>
      </c>
      <c r="F11" s="5">
        <v>16.975231738339499</v>
      </c>
      <c r="G11" t="s">
        <v>35</v>
      </c>
      <c r="H11" t="s">
        <v>65</v>
      </c>
    </row>
    <row r="12" spans="1:8" x14ac:dyDescent="0.25">
      <c r="A12" t="s">
        <v>66</v>
      </c>
      <c r="B12" t="s">
        <v>14</v>
      </c>
      <c r="C12" t="s">
        <v>61</v>
      </c>
      <c r="D12" s="5">
        <v>95.78</v>
      </c>
      <c r="E12" s="5">
        <v>89.86</v>
      </c>
      <c r="F12" s="5">
        <v>72.099999999999994</v>
      </c>
      <c r="G12" t="s">
        <v>39</v>
      </c>
      <c r="H12" t="s">
        <v>67</v>
      </c>
    </row>
    <row r="13" spans="1:8" x14ac:dyDescent="0.25">
      <c r="A13" t="s">
        <v>68</v>
      </c>
      <c r="B13" t="s">
        <v>14</v>
      </c>
      <c r="C13" t="s">
        <v>61</v>
      </c>
      <c r="D13" s="5">
        <v>99.46</v>
      </c>
      <c r="E13" s="5">
        <v>99.29</v>
      </c>
      <c r="F13" s="5">
        <v>96.79</v>
      </c>
      <c r="G13" t="s">
        <v>39</v>
      </c>
      <c r="H13" t="s">
        <v>69</v>
      </c>
    </row>
    <row r="14" spans="1:8" x14ac:dyDescent="0.25">
      <c r="A14" t="s">
        <v>74</v>
      </c>
      <c r="B14" t="s">
        <v>14</v>
      </c>
      <c r="C14" t="s">
        <v>75</v>
      </c>
      <c r="D14" s="5">
        <f>(7764647+1000339)/118547152*100</f>
        <v>7.3936706636360192</v>
      </c>
      <c r="E14" s="5">
        <f>32920822/110206952*100</f>
        <v>29.871819701537522</v>
      </c>
      <c r="F14" s="5">
        <f>23470061/128922725*100</f>
        <v>18.204750946739605</v>
      </c>
      <c r="G14" t="s">
        <v>35</v>
      </c>
      <c r="H14" t="s">
        <v>76</v>
      </c>
    </row>
    <row r="15" spans="1:8" x14ac:dyDescent="0.25">
      <c r="A15" t="s">
        <v>91</v>
      </c>
      <c r="B15" t="s">
        <v>92</v>
      </c>
      <c r="C15" t="s">
        <v>15</v>
      </c>
      <c r="D15" s="5">
        <v>6.16</v>
      </c>
      <c r="E15" s="5">
        <v>6.4</v>
      </c>
      <c r="F15" s="5">
        <v>6.92</v>
      </c>
      <c r="G15" t="s">
        <v>93</v>
      </c>
      <c r="H15" t="s">
        <v>94</v>
      </c>
    </row>
    <row r="16" spans="1:8" x14ac:dyDescent="0.25">
      <c r="A16" t="s">
        <v>95</v>
      </c>
      <c r="B16" t="s">
        <v>59</v>
      </c>
      <c r="C16" t="s">
        <v>34</v>
      </c>
      <c r="D16" s="5">
        <v>1.57</v>
      </c>
      <c r="E16" s="5">
        <v>1.49</v>
      </c>
      <c r="F16" s="5">
        <v>1.43</v>
      </c>
      <c r="G16" t="s">
        <v>96</v>
      </c>
      <c r="H16" t="s">
        <v>59</v>
      </c>
    </row>
    <row r="17" spans="1:8" x14ac:dyDescent="0.25">
      <c r="A17" t="s">
        <v>97</v>
      </c>
      <c r="B17" t="s">
        <v>98</v>
      </c>
      <c r="C17" t="s">
        <v>34</v>
      </c>
      <c r="D17" s="5">
        <v>279</v>
      </c>
      <c r="E17" s="5">
        <v>251</v>
      </c>
      <c r="F17" s="5">
        <v>267</v>
      </c>
      <c r="G17" t="s">
        <v>99</v>
      </c>
      <c r="H17" t="s">
        <v>59</v>
      </c>
    </row>
    <row r="18" spans="1:8" x14ac:dyDescent="0.25">
      <c r="A18" t="s">
        <v>104</v>
      </c>
      <c r="B18" t="s">
        <v>105</v>
      </c>
      <c r="C18" t="s">
        <v>15</v>
      </c>
      <c r="D18" s="37">
        <v>190</v>
      </c>
      <c r="E18" s="37">
        <v>190</v>
      </c>
      <c r="F18" s="37">
        <v>190</v>
      </c>
      <c r="G18" t="s">
        <v>58</v>
      </c>
      <c r="H18" t="s">
        <v>59</v>
      </c>
    </row>
    <row r="19" spans="1:8" x14ac:dyDescent="0.25">
      <c r="A19" t="s">
        <v>106</v>
      </c>
      <c r="B19" t="s">
        <v>105</v>
      </c>
      <c r="C19" t="s">
        <v>15</v>
      </c>
      <c r="D19" s="37">
        <v>203</v>
      </c>
      <c r="E19" s="37">
        <v>180</v>
      </c>
      <c r="F19" s="37">
        <v>220</v>
      </c>
      <c r="G19" t="s">
        <v>58</v>
      </c>
      <c r="H19" t="s">
        <v>59</v>
      </c>
    </row>
    <row r="20" spans="1:8" x14ac:dyDescent="0.25">
      <c r="A20" t="s">
        <v>107</v>
      </c>
      <c r="B20" t="s">
        <v>14</v>
      </c>
      <c r="C20" t="s">
        <v>15</v>
      </c>
      <c r="D20" s="5">
        <v>100.06</v>
      </c>
      <c r="E20" s="5">
        <v>88.85</v>
      </c>
      <c r="F20" s="5">
        <v>95.57</v>
      </c>
      <c r="G20" t="s">
        <v>58</v>
      </c>
      <c r="H20" t="s">
        <v>108</v>
      </c>
    </row>
    <row r="21" spans="1:8" x14ac:dyDescent="0.25">
      <c r="A21" t="s">
        <v>112</v>
      </c>
      <c r="B21" t="s">
        <v>59</v>
      </c>
      <c r="C21" t="s">
        <v>102</v>
      </c>
      <c r="D21" s="5">
        <f>D43/D19</f>
        <v>0.17733990147783252</v>
      </c>
      <c r="E21" s="5">
        <f>E43/E19</f>
        <v>0.18888888888888888</v>
      </c>
      <c r="F21" s="5">
        <f>F43/F19</f>
        <v>0.15454545454545454</v>
      </c>
      <c r="G21" t="s">
        <v>110</v>
      </c>
      <c r="H21" t="s">
        <v>113</v>
      </c>
    </row>
    <row r="22" spans="1:8" x14ac:dyDescent="0.25">
      <c r="A22" t="s">
        <v>114</v>
      </c>
      <c r="B22" t="s">
        <v>59</v>
      </c>
      <c r="C22" t="s">
        <v>102</v>
      </c>
      <c r="D22" s="5">
        <f>D44/D19</f>
        <v>0.52216748768472909</v>
      </c>
      <c r="E22" s="5">
        <f>E44/E19</f>
        <v>0.57777777777777772</v>
      </c>
      <c r="F22" s="5">
        <f>F44/F19</f>
        <v>0.47727272727272729</v>
      </c>
      <c r="G22" t="s">
        <v>110</v>
      </c>
      <c r="H22" t="s">
        <v>115</v>
      </c>
    </row>
    <row r="23" spans="1:8" x14ac:dyDescent="0.25">
      <c r="A23" t="s">
        <v>116</v>
      </c>
      <c r="B23" t="s">
        <v>117</v>
      </c>
      <c r="C23" t="s">
        <v>118</v>
      </c>
      <c r="D23" s="5">
        <v>23.810492888157899</v>
      </c>
      <c r="E23" s="5">
        <v>19.3811495705128</v>
      </c>
      <c r="F23" s="5">
        <v>21.219529568493201</v>
      </c>
      <c r="G23" t="s">
        <v>119</v>
      </c>
      <c r="H23" t="s">
        <v>59</v>
      </c>
    </row>
    <row r="24" spans="1:8" x14ac:dyDescent="0.25">
      <c r="A24" t="s">
        <v>120</v>
      </c>
      <c r="B24" t="s">
        <v>117</v>
      </c>
      <c r="C24" t="s">
        <v>118</v>
      </c>
      <c r="D24" s="5">
        <v>50.321795144736797</v>
      </c>
      <c r="E24" s="5">
        <v>42.6927554551282</v>
      </c>
      <c r="F24" s="5">
        <v>45.315410054794498</v>
      </c>
      <c r="G24" t="s">
        <v>121</v>
      </c>
      <c r="H24" t="s">
        <v>59</v>
      </c>
    </row>
    <row r="25" spans="1:8" x14ac:dyDescent="0.25">
      <c r="A25" t="s">
        <v>122</v>
      </c>
      <c r="B25" t="s">
        <v>117</v>
      </c>
      <c r="C25" t="s">
        <v>118</v>
      </c>
      <c r="D25" s="5">
        <v>18.518189311297601</v>
      </c>
      <c r="E25" s="5">
        <v>14.873373342188099</v>
      </c>
      <c r="F25" s="5">
        <v>14.082051440909099</v>
      </c>
      <c r="G25" t="s">
        <v>123</v>
      </c>
      <c r="H25" t="s">
        <v>59</v>
      </c>
    </row>
    <row r="26" spans="1:8" x14ac:dyDescent="0.25">
      <c r="A26" t="s">
        <v>124</v>
      </c>
      <c r="B26" t="s">
        <v>117</v>
      </c>
      <c r="C26" t="s">
        <v>118</v>
      </c>
      <c r="D26" s="5">
        <v>39.136885294719598</v>
      </c>
      <c r="E26" s="5">
        <v>32.763035473238901</v>
      </c>
      <c r="F26" s="5">
        <v>30.072953945454501</v>
      </c>
      <c r="G26" t="s">
        <v>125</v>
      </c>
      <c r="H26" t="s">
        <v>59</v>
      </c>
    </row>
    <row r="27" spans="1:8" x14ac:dyDescent="0.25">
      <c r="A27" t="s">
        <v>126</v>
      </c>
      <c r="B27" t="s">
        <v>127</v>
      </c>
      <c r="C27" t="s">
        <v>118</v>
      </c>
      <c r="D27" s="5">
        <v>5.4318873668188701</v>
      </c>
      <c r="E27" s="5">
        <v>5.3265108783239299</v>
      </c>
      <c r="F27" s="5">
        <v>6.18380338436745</v>
      </c>
      <c r="G27" t="s">
        <v>39</v>
      </c>
      <c r="H27" t="s">
        <v>128</v>
      </c>
    </row>
    <row r="28" spans="1:8" x14ac:dyDescent="0.25">
      <c r="A28" t="s">
        <v>129</v>
      </c>
      <c r="B28" t="s">
        <v>14</v>
      </c>
      <c r="C28" t="s">
        <v>118</v>
      </c>
      <c r="D28" s="5">
        <v>28.995036013383402</v>
      </c>
      <c r="E28" s="5">
        <v>25.908957061315402</v>
      </c>
      <c r="F28" s="5">
        <v>23.142359253671199</v>
      </c>
      <c r="G28" t="s">
        <v>130</v>
      </c>
      <c r="H28" t="s">
        <v>131</v>
      </c>
    </row>
    <row r="29" spans="1:8" x14ac:dyDescent="0.25">
      <c r="A29" t="s">
        <v>132</v>
      </c>
      <c r="B29" t="s">
        <v>117</v>
      </c>
      <c r="C29" t="s">
        <v>118</v>
      </c>
      <c r="D29" s="5">
        <v>12482.119068</v>
      </c>
      <c r="E29" s="5">
        <v>11669.552448</v>
      </c>
      <c r="F29" s="5">
        <v>13386.929496000001</v>
      </c>
      <c r="G29" t="s">
        <v>59</v>
      </c>
      <c r="H29" t="s">
        <v>133</v>
      </c>
    </row>
    <row r="30" spans="1:8" x14ac:dyDescent="0.25">
      <c r="A30" t="s">
        <v>134</v>
      </c>
      <c r="B30" t="s">
        <v>117</v>
      </c>
      <c r="C30" t="s">
        <v>118</v>
      </c>
      <c r="D30" s="5">
        <v>3619.194919</v>
      </c>
      <c r="E30" s="5">
        <v>3023.4593329999998</v>
      </c>
      <c r="F30" s="5">
        <v>3098.0513169999999</v>
      </c>
      <c r="G30" t="s">
        <v>59</v>
      </c>
      <c r="H30" t="s">
        <v>59</v>
      </c>
    </row>
    <row r="31" spans="1:8" x14ac:dyDescent="0.25">
      <c r="A31" t="s">
        <v>135</v>
      </c>
      <c r="B31" t="s">
        <v>117</v>
      </c>
      <c r="C31" t="s">
        <v>118</v>
      </c>
      <c r="D31" s="5">
        <v>7648.9128620000001</v>
      </c>
      <c r="E31" s="5">
        <v>6660.0698510000002</v>
      </c>
      <c r="F31" s="5">
        <v>6616.0498680000001</v>
      </c>
      <c r="G31" t="s">
        <v>59</v>
      </c>
      <c r="H31" t="s">
        <v>136</v>
      </c>
    </row>
    <row r="32" spans="1:8" x14ac:dyDescent="0.25">
      <c r="A32" t="s">
        <v>216</v>
      </c>
      <c r="B32" t="s">
        <v>117</v>
      </c>
      <c r="D32" s="17">
        <v>9349.11</v>
      </c>
      <c r="E32" s="17">
        <v>8863.6</v>
      </c>
      <c r="F32" s="17">
        <v>10579.01</v>
      </c>
    </row>
    <row r="33" spans="1:8" x14ac:dyDescent="0.25">
      <c r="A33" t="s">
        <v>143</v>
      </c>
      <c r="B33" t="s">
        <v>14</v>
      </c>
      <c r="D33" s="15">
        <v>-6.87</v>
      </c>
      <c r="E33" s="15">
        <v>-6.94</v>
      </c>
      <c r="F33" s="15">
        <v>-5.48</v>
      </c>
    </row>
    <row r="34" spans="1:8" x14ac:dyDescent="0.25">
      <c r="A34" t="s">
        <v>137</v>
      </c>
      <c r="B34" t="s">
        <v>138</v>
      </c>
      <c r="C34" t="s">
        <v>139</v>
      </c>
      <c r="D34" s="5"/>
      <c r="E34" s="5"/>
      <c r="F34" s="5"/>
      <c r="G34" t="s">
        <v>35</v>
      </c>
      <c r="H34" t="s">
        <v>140</v>
      </c>
    </row>
    <row r="35" spans="1:8" x14ac:dyDescent="0.25">
      <c r="A35" t="s">
        <v>217</v>
      </c>
      <c r="B35" t="s">
        <v>14</v>
      </c>
      <c r="C35" t="s">
        <v>118</v>
      </c>
      <c r="D35" s="5">
        <v>10.850673428298</v>
      </c>
      <c r="E35" s="5">
        <v>9.5636457522522509</v>
      </c>
      <c r="F35" s="5">
        <v>9.4331296611170306</v>
      </c>
      <c r="G35" t="s">
        <v>22</v>
      </c>
      <c r="H35" t="s">
        <v>218</v>
      </c>
    </row>
    <row r="36" spans="1:8" x14ac:dyDescent="0.25">
      <c r="A36" t="s">
        <v>219</v>
      </c>
      <c r="B36" t="s">
        <v>14</v>
      </c>
      <c r="C36" t="s">
        <v>118</v>
      </c>
      <c r="D36" s="5">
        <v>89.149326571701906</v>
      </c>
      <c r="E36" s="5">
        <v>90.436354247747801</v>
      </c>
      <c r="F36" s="5">
        <v>90.566870338883007</v>
      </c>
      <c r="G36" t="s">
        <v>22</v>
      </c>
      <c r="H36" t="s">
        <v>220</v>
      </c>
    </row>
    <row r="37" spans="1:8" x14ac:dyDescent="0.25">
      <c r="A37" t="s">
        <v>144</v>
      </c>
      <c r="B37" t="s">
        <v>14</v>
      </c>
      <c r="C37" t="s">
        <v>118</v>
      </c>
      <c r="D37" s="5">
        <v>6.9631343928640703</v>
      </c>
      <c r="E37" s="5">
        <v>-12.8287599371697</v>
      </c>
      <c r="F37" s="5">
        <v>-0.386874615540721</v>
      </c>
      <c r="G37" t="s">
        <v>35</v>
      </c>
      <c r="H37" t="s">
        <v>145</v>
      </c>
    </row>
    <row r="38" spans="1:8" x14ac:dyDescent="0.25">
      <c r="A38" t="s">
        <v>146</v>
      </c>
      <c r="B38" t="s">
        <v>14</v>
      </c>
      <c r="C38" t="s">
        <v>118</v>
      </c>
      <c r="D38" s="5">
        <v>-2.1723017409239702</v>
      </c>
      <c r="E38" s="5">
        <v>-9.3341583677152293</v>
      </c>
      <c r="F38" s="5">
        <v>3.5656335325758</v>
      </c>
      <c r="G38" t="s">
        <v>35</v>
      </c>
      <c r="H38" t="s">
        <v>147</v>
      </c>
    </row>
    <row r="39" spans="1:8" x14ac:dyDescent="0.25">
      <c r="A39" t="s">
        <v>148</v>
      </c>
      <c r="B39" t="s">
        <v>14</v>
      </c>
      <c r="C39" t="s">
        <v>118</v>
      </c>
      <c r="D39" s="5">
        <v>-6.0050248212474804</v>
      </c>
      <c r="E39" s="5">
        <v>-6.6986242191293099</v>
      </c>
      <c r="F39" s="5">
        <v>-6.4376720174746103</v>
      </c>
      <c r="G39" t="s">
        <v>35</v>
      </c>
      <c r="H39" t="s">
        <v>149</v>
      </c>
    </row>
    <row r="40" spans="1:8" x14ac:dyDescent="0.25">
      <c r="A40" t="s">
        <v>150</v>
      </c>
      <c r="B40" t="s">
        <v>14</v>
      </c>
      <c r="C40" t="s">
        <v>118</v>
      </c>
      <c r="D40" s="5">
        <v>-3.1239045416684998</v>
      </c>
      <c r="E40" s="5">
        <v>-17.851685221687902</v>
      </c>
      <c r="F40" s="5">
        <v>7.5957336221715304</v>
      </c>
      <c r="G40" t="s">
        <v>35</v>
      </c>
      <c r="H40" t="s">
        <v>151</v>
      </c>
    </row>
    <row r="41" spans="1:8" x14ac:dyDescent="0.25">
      <c r="A41" t="s">
        <v>152</v>
      </c>
      <c r="B41" t="s">
        <v>14</v>
      </c>
      <c r="C41" t="s">
        <v>118</v>
      </c>
      <c r="D41" s="5">
        <v>-3.17678649062788</v>
      </c>
      <c r="E41" s="5">
        <v>-37.114499180792301</v>
      </c>
      <c r="F41" s="5">
        <v>-17.096259488605899</v>
      </c>
      <c r="G41" t="s">
        <v>35</v>
      </c>
      <c r="H41" t="s">
        <v>153</v>
      </c>
    </row>
    <row r="42" spans="1:8" x14ac:dyDescent="0.25">
      <c r="A42" t="s">
        <v>164</v>
      </c>
      <c r="B42" t="s">
        <v>59</v>
      </c>
      <c r="C42" t="s">
        <v>102</v>
      </c>
      <c r="D42" s="5">
        <v>0.34</v>
      </c>
      <c r="E42" s="5">
        <v>0.33</v>
      </c>
      <c r="F42" s="5">
        <v>0.32</v>
      </c>
      <c r="G42" t="s">
        <v>165</v>
      </c>
      <c r="H42" t="s">
        <v>166</v>
      </c>
    </row>
    <row r="43" spans="1:8" x14ac:dyDescent="0.25">
      <c r="A43" t="s">
        <v>167</v>
      </c>
      <c r="B43" t="s">
        <v>101</v>
      </c>
      <c r="C43" t="s">
        <v>102</v>
      </c>
      <c r="D43" s="37">
        <v>36</v>
      </c>
      <c r="E43" s="37">
        <v>34</v>
      </c>
      <c r="F43" s="37">
        <v>34</v>
      </c>
      <c r="G43" t="s">
        <v>168</v>
      </c>
      <c r="H43" t="s">
        <v>59</v>
      </c>
    </row>
    <row r="44" spans="1:8" x14ac:dyDescent="0.25">
      <c r="A44" t="s">
        <v>169</v>
      </c>
      <c r="B44" t="s">
        <v>101</v>
      </c>
      <c r="C44" t="s">
        <v>102</v>
      </c>
      <c r="D44" s="37">
        <v>106</v>
      </c>
      <c r="E44" s="37">
        <v>104</v>
      </c>
      <c r="F44" s="37">
        <v>105</v>
      </c>
      <c r="G44" t="s">
        <v>168</v>
      </c>
      <c r="H44" t="s">
        <v>59</v>
      </c>
    </row>
    <row r="45" spans="1:8" x14ac:dyDescent="0.25">
      <c r="A45" t="s">
        <v>221</v>
      </c>
      <c r="B45" t="s">
        <v>14</v>
      </c>
      <c r="C45" t="s">
        <v>102</v>
      </c>
      <c r="D45" s="5">
        <v>22.22</v>
      </c>
      <c r="E45" s="5">
        <v>29.41</v>
      </c>
      <c r="F45" s="5">
        <v>32.35</v>
      </c>
      <c r="G45" t="s">
        <v>59</v>
      </c>
      <c r="H45" t="s">
        <v>222</v>
      </c>
    </row>
    <row r="46" spans="1:8" x14ac:dyDescent="0.25">
      <c r="A46" t="s">
        <v>223</v>
      </c>
      <c r="B46" t="s">
        <v>14</v>
      </c>
      <c r="C46" t="s">
        <v>102</v>
      </c>
      <c r="D46" s="5">
        <v>2.78</v>
      </c>
      <c r="E46" s="5">
        <v>5.88</v>
      </c>
      <c r="F46" s="5">
        <v>8.82</v>
      </c>
      <c r="G46" t="s">
        <v>59</v>
      </c>
      <c r="H46" t="s">
        <v>224</v>
      </c>
    </row>
    <row r="47" spans="1:8" x14ac:dyDescent="0.25">
      <c r="A47" t="s">
        <v>225</v>
      </c>
      <c r="B47" t="s">
        <v>14</v>
      </c>
      <c r="C47" t="s">
        <v>102</v>
      </c>
      <c r="D47" s="5">
        <v>91.67</v>
      </c>
      <c r="E47" s="5">
        <v>85.29</v>
      </c>
      <c r="F47" s="5">
        <v>82.35</v>
      </c>
      <c r="G47" t="s">
        <v>59</v>
      </c>
      <c r="H47" t="s">
        <v>226</v>
      </c>
    </row>
    <row r="48" spans="1:8" x14ac:dyDescent="0.25">
      <c r="A48" t="s">
        <v>188</v>
      </c>
      <c r="B48" t="s">
        <v>59</v>
      </c>
      <c r="C48" t="s">
        <v>176</v>
      </c>
      <c r="D48" s="5">
        <v>7.0000000000000001E-3</v>
      </c>
      <c r="E48" s="5">
        <v>0</v>
      </c>
      <c r="F48" s="5">
        <v>0</v>
      </c>
      <c r="G48" t="s">
        <v>186</v>
      </c>
      <c r="H48" t="s">
        <v>189</v>
      </c>
    </row>
    <row r="49" spans="1:8" x14ac:dyDescent="0.25">
      <c r="A49" t="s">
        <v>190</v>
      </c>
      <c r="B49" t="s">
        <v>59</v>
      </c>
      <c r="C49" t="s">
        <v>176</v>
      </c>
      <c r="D49" s="5">
        <v>0</v>
      </c>
      <c r="E49" s="5">
        <v>0</v>
      </c>
      <c r="F49" s="5">
        <v>0</v>
      </c>
      <c r="G49" t="s">
        <v>191</v>
      </c>
      <c r="H49" t="s">
        <v>192</v>
      </c>
    </row>
    <row r="50" spans="1:8" x14ac:dyDescent="0.25">
      <c r="A50" t="s">
        <v>193</v>
      </c>
      <c r="B50" t="s">
        <v>59</v>
      </c>
      <c r="C50" t="s">
        <v>176</v>
      </c>
      <c r="D50" s="5">
        <v>0</v>
      </c>
      <c r="E50" s="5">
        <v>0</v>
      </c>
      <c r="F50" s="5">
        <v>0</v>
      </c>
      <c r="G50" t="s">
        <v>191</v>
      </c>
      <c r="H50" t="s">
        <v>194</v>
      </c>
    </row>
    <row r="51" spans="1:8" x14ac:dyDescent="0.25">
      <c r="A51" t="s">
        <v>195</v>
      </c>
      <c r="B51" t="s">
        <v>196</v>
      </c>
      <c r="C51" t="s">
        <v>176</v>
      </c>
      <c r="D51" s="5">
        <v>3159420.8591549299</v>
      </c>
      <c r="E51" s="5">
        <v>2001710.4710144899</v>
      </c>
      <c r="F51" s="5">
        <v>363589.67625899299</v>
      </c>
      <c r="G51" t="s">
        <v>39</v>
      </c>
      <c r="H51" t="s">
        <v>197</v>
      </c>
    </row>
    <row r="52" spans="1:8" x14ac:dyDescent="0.25">
      <c r="A52" t="s">
        <v>198</v>
      </c>
      <c r="B52" t="s">
        <v>196</v>
      </c>
      <c r="C52" t="s">
        <v>176</v>
      </c>
      <c r="D52" s="5">
        <v>0</v>
      </c>
      <c r="E52" s="5">
        <v>0</v>
      </c>
      <c r="F52" s="5">
        <v>0</v>
      </c>
      <c r="G52" t="s">
        <v>22</v>
      </c>
      <c r="H52" t="s">
        <v>199</v>
      </c>
    </row>
    <row r="53" spans="1:8" x14ac:dyDescent="0.25">
      <c r="A53" t="s">
        <v>200</v>
      </c>
      <c r="B53" t="s">
        <v>201</v>
      </c>
      <c r="C53" t="s">
        <v>176</v>
      </c>
      <c r="D53" s="5">
        <v>0</v>
      </c>
      <c r="E53" s="5">
        <v>0</v>
      </c>
      <c r="F53" s="5">
        <v>0</v>
      </c>
      <c r="G53" t="s">
        <v>202</v>
      </c>
      <c r="H53" t="s">
        <v>59</v>
      </c>
    </row>
    <row r="54" spans="1:8" x14ac:dyDescent="0.25">
      <c r="A54" t="s">
        <v>203</v>
      </c>
      <c r="B54" t="s">
        <v>204</v>
      </c>
      <c r="C54" t="s">
        <v>176</v>
      </c>
      <c r="D54" s="5">
        <v>2.8000000000000001E-2</v>
      </c>
      <c r="E54" s="5">
        <v>2.9000000000000001E-2</v>
      </c>
      <c r="F54" s="5">
        <v>0</v>
      </c>
      <c r="G54" t="s">
        <v>205</v>
      </c>
      <c r="H54" t="s">
        <v>59</v>
      </c>
    </row>
    <row r="55" spans="1:8" x14ac:dyDescent="0.25">
      <c r="A55" t="s">
        <v>206</v>
      </c>
      <c r="B55" t="s">
        <v>207</v>
      </c>
      <c r="C55" t="s">
        <v>176</v>
      </c>
      <c r="D55" s="5">
        <v>0.41099999999999998</v>
      </c>
      <c r="E55" s="5">
        <v>4.5999999999999999E-2</v>
      </c>
      <c r="F55" s="5">
        <v>0</v>
      </c>
      <c r="G55" t="s">
        <v>205</v>
      </c>
      <c r="H55" t="s">
        <v>59</v>
      </c>
    </row>
    <row r="56" spans="1:8" x14ac:dyDescent="0.25">
      <c r="A56" t="s">
        <v>208</v>
      </c>
      <c r="B56" t="s">
        <v>14</v>
      </c>
      <c r="C56" t="s">
        <v>176</v>
      </c>
      <c r="D56" s="5">
        <v>0</v>
      </c>
      <c r="E56" s="5">
        <v>0</v>
      </c>
      <c r="F56" s="5">
        <v>0</v>
      </c>
      <c r="G56" t="s">
        <v>59</v>
      </c>
      <c r="H56" t="s">
        <v>209</v>
      </c>
    </row>
    <row r="57" spans="1:8" x14ac:dyDescent="0.25">
      <c r="A57" t="s">
        <v>210</v>
      </c>
      <c r="B57" t="s">
        <v>14</v>
      </c>
      <c r="C57" t="s">
        <v>176</v>
      </c>
      <c r="D57" s="5">
        <v>11.11</v>
      </c>
      <c r="E57" s="5">
        <v>11.76</v>
      </c>
      <c r="F57" s="5">
        <v>2.94</v>
      </c>
      <c r="G57" t="s">
        <v>59</v>
      </c>
      <c r="H57" t="s">
        <v>211</v>
      </c>
    </row>
    <row r="58" spans="1:8" x14ac:dyDescent="0.25">
      <c r="A58" t="s">
        <v>212</v>
      </c>
      <c r="B58" t="s">
        <v>14</v>
      </c>
      <c r="C58" t="s">
        <v>15</v>
      </c>
      <c r="D58" s="9">
        <v>2.8846153846153801</v>
      </c>
      <c r="E58" s="9">
        <v>2.79524131927653</v>
      </c>
      <c r="F58" s="9">
        <v>3.4116686326104699</v>
      </c>
      <c r="G58" t="s">
        <v>59</v>
      </c>
      <c r="H58" t="s">
        <v>213</v>
      </c>
    </row>
    <row r="59" spans="1:8" x14ac:dyDescent="0.25">
      <c r="A59" t="s">
        <v>214</v>
      </c>
      <c r="B59" t="s">
        <v>14</v>
      </c>
      <c r="C59" t="s">
        <v>15</v>
      </c>
      <c r="D59" s="5">
        <v>5.2581427581427604</v>
      </c>
      <c r="E59" s="5">
        <v>5.9290066737595497</v>
      </c>
      <c r="F59" s="5">
        <v>6.3752607236782399</v>
      </c>
      <c r="G59" t="s">
        <v>59</v>
      </c>
      <c r="H59" t="s">
        <v>215</v>
      </c>
    </row>
    <row r="60" spans="1:8" x14ac:dyDescent="0.25">
      <c r="A60" t="s">
        <v>227</v>
      </c>
      <c r="B60" t="s">
        <v>207</v>
      </c>
      <c r="C60" t="s">
        <v>176</v>
      </c>
      <c r="D60" s="5">
        <v>0</v>
      </c>
      <c r="E60" s="5">
        <v>0</v>
      </c>
      <c r="F60" s="5">
        <v>0</v>
      </c>
      <c r="G60" t="s">
        <v>228</v>
      </c>
      <c r="H60" t="s">
        <v>59</v>
      </c>
    </row>
    <row r="61" spans="1:8" x14ac:dyDescent="0.25">
      <c r="A61" t="s">
        <v>229</v>
      </c>
      <c r="B61" t="s">
        <v>207</v>
      </c>
      <c r="C61" t="s">
        <v>176</v>
      </c>
      <c r="D61" s="5">
        <v>0</v>
      </c>
      <c r="E61" s="5">
        <v>0</v>
      </c>
      <c r="F61" s="5">
        <v>0</v>
      </c>
      <c r="G61" t="s">
        <v>228</v>
      </c>
      <c r="H61" t="s">
        <v>59</v>
      </c>
    </row>
    <row r="62" spans="1:8" x14ac:dyDescent="0.25">
      <c r="A62" t="s">
        <v>230</v>
      </c>
      <c r="B62" t="s">
        <v>207</v>
      </c>
      <c r="C62" t="s">
        <v>176</v>
      </c>
      <c r="D62" s="5">
        <v>0</v>
      </c>
      <c r="E62" s="5">
        <v>0</v>
      </c>
      <c r="F62" s="5">
        <v>0</v>
      </c>
      <c r="G62" t="s">
        <v>228</v>
      </c>
      <c r="H62" t="s">
        <v>59</v>
      </c>
    </row>
    <row r="63" spans="1:8" x14ac:dyDescent="0.25">
      <c r="A63" t="s">
        <v>231</v>
      </c>
      <c r="B63" t="s">
        <v>207</v>
      </c>
      <c r="C63" t="s">
        <v>176</v>
      </c>
      <c r="D63" s="5">
        <v>0</v>
      </c>
      <c r="E63" s="5">
        <v>0</v>
      </c>
      <c r="F63" s="5">
        <v>0</v>
      </c>
      <c r="G63" t="s">
        <v>228</v>
      </c>
      <c r="H63" t="s">
        <v>59</v>
      </c>
    </row>
    <row r="64" spans="1:8" x14ac:dyDescent="0.25">
      <c r="A64" t="s">
        <v>232</v>
      </c>
      <c r="B64" t="s">
        <v>207</v>
      </c>
      <c r="C64" t="s">
        <v>176</v>
      </c>
      <c r="D64" s="5">
        <v>1</v>
      </c>
      <c r="E64" s="5">
        <v>1</v>
      </c>
      <c r="F64" s="5">
        <v>1</v>
      </c>
      <c r="G64" t="s">
        <v>228</v>
      </c>
      <c r="H64" t="s">
        <v>59</v>
      </c>
    </row>
    <row r="65" spans="1:8" x14ac:dyDescent="0.25">
      <c r="A65" t="s">
        <v>233</v>
      </c>
      <c r="B65" t="s">
        <v>207</v>
      </c>
      <c r="C65" t="s">
        <v>176</v>
      </c>
      <c r="D65" s="5">
        <v>0</v>
      </c>
      <c r="E65" s="5">
        <v>0</v>
      </c>
      <c r="F65" s="5">
        <v>0</v>
      </c>
      <c r="G65" t="s">
        <v>228</v>
      </c>
      <c r="H65" t="s">
        <v>59</v>
      </c>
    </row>
    <row r="66" spans="1:8" x14ac:dyDescent="0.25">
      <c r="A66" t="s">
        <v>234</v>
      </c>
      <c r="B66" t="s">
        <v>207</v>
      </c>
      <c r="C66" t="s">
        <v>176</v>
      </c>
      <c r="D66" s="5">
        <v>0</v>
      </c>
      <c r="E66" s="5">
        <v>0</v>
      </c>
      <c r="F66" s="5">
        <v>0</v>
      </c>
      <c r="G66" t="s">
        <v>228</v>
      </c>
      <c r="H66" t="s">
        <v>59</v>
      </c>
    </row>
    <row r="67" spans="1:8" x14ac:dyDescent="0.25">
      <c r="A67" t="s">
        <v>235</v>
      </c>
      <c r="B67" t="s">
        <v>207</v>
      </c>
      <c r="C67" t="s">
        <v>176</v>
      </c>
      <c r="D67" s="5">
        <v>1</v>
      </c>
      <c r="E67" s="5">
        <v>1</v>
      </c>
      <c r="F67" s="5">
        <v>1</v>
      </c>
      <c r="G67" t="s">
        <v>228</v>
      </c>
      <c r="H67" t="s">
        <v>59</v>
      </c>
    </row>
    <row r="68" spans="1:8" x14ac:dyDescent="0.25">
      <c r="A68" t="s">
        <v>236</v>
      </c>
      <c r="B68" t="s">
        <v>207</v>
      </c>
      <c r="C68" t="s">
        <v>176</v>
      </c>
      <c r="D68" s="5">
        <v>0</v>
      </c>
      <c r="E68" s="5">
        <v>0</v>
      </c>
      <c r="F68" s="5">
        <v>0</v>
      </c>
      <c r="G68" t="s">
        <v>228</v>
      </c>
      <c r="H68" t="s">
        <v>59</v>
      </c>
    </row>
    <row r="69" spans="1:8" x14ac:dyDescent="0.25">
      <c r="A69" t="s">
        <v>237</v>
      </c>
      <c r="B69" t="s">
        <v>207</v>
      </c>
      <c r="C69" t="s">
        <v>176</v>
      </c>
      <c r="D69" s="5">
        <v>0</v>
      </c>
      <c r="E69" s="5">
        <v>0</v>
      </c>
      <c r="F69" s="5">
        <v>0</v>
      </c>
      <c r="G69" t="s">
        <v>228</v>
      </c>
      <c r="H69" t="s">
        <v>59</v>
      </c>
    </row>
    <row r="70" spans="1:8" x14ac:dyDescent="0.25">
      <c r="A70" t="s">
        <v>238</v>
      </c>
      <c r="B70" t="s">
        <v>207</v>
      </c>
      <c r="C70" t="s">
        <v>176</v>
      </c>
      <c r="D70" s="5">
        <v>0</v>
      </c>
      <c r="E70" s="5">
        <v>0</v>
      </c>
      <c r="F70" s="5">
        <v>0</v>
      </c>
      <c r="G70" t="s">
        <v>228</v>
      </c>
      <c r="H70" t="s">
        <v>59</v>
      </c>
    </row>
    <row r="71" spans="1:8" x14ac:dyDescent="0.25">
      <c r="A71" t="s">
        <v>239</v>
      </c>
      <c r="B71" t="s">
        <v>207</v>
      </c>
      <c r="C71" t="s">
        <v>176</v>
      </c>
      <c r="D71" s="5">
        <v>0</v>
      </c>
      <c r="E71" s="5">
        <v>0</v>
      </c>
      <c r="F71" s="5">
        <v>0</v>
      </c>
      <c r="G71" t="s">
        <v>228</v>
      </c>
      <c r="H71" t="s">
        <v>59</v>
      </c>
    </row>
    <row r="72" spans="1:8" x14ac:dyDescent="0.25">
      <c r="A72" t="s">
        <v>240</v>
      </c>
      <c r="B72" t="s">
        <v>59</v>
      </c>
      <c r="C72" t="s">
        <v>90</v>
      </c>
      <c r="D72" s="5">
        <v>0</v>
      </c>
      <c r="E72" s="5">
        <v>0</v>
      </c>
      <c r="F72" s="5">
        <v>0</v>
      </c>
      <c r="G72" t="s">
        <v>59</v>
      </c>
      <c r="H72" t="s">
        <v>59</v>
      </c>
    </row>
    <row r="73" spans="1:8" x14ac:dyDescent="0.25">
      <c r="A73" t="s">
        <v>241</v>
      </c>
      <c r="B73" t="s">
        <v>59</v>
      </c>
      <c r="C73" t="s">
        <v>90</v>
      </c>
      <c r="D73" s="5">
        <v>0</v>
      </c>
      <c r="E73" s="5">
        <v>0</v>
      </c>
      <c r="F73" s="5">
        <v>0</v>
      </c>
      <c r="G73" t="s">
        <v>59</v>
      </c>
      <c r="H73" t="s">
        <v>59</v>
      </c>
    </row>
    <row r="74" spans="1:8" x14ac:dyDescent="0.25">
      <c r="A74" t="s">
        <v>242</v>
      </c>
      <c r="B74" t="s">
        <v>14</v>
      </c>
      <c r="C74" t="s">
        <v>90</v>
      </c>
      <c r="D74" s="50">
        <f>[1]心血管内科!$Q$4</f>
        <v>21.872834372834401</v>
      </c>
      <c r="E74" s="50">
        <f>[1]心血管内科!$K$4</f>
        <v>20.321114227681601</v>
      </c>
      <c r="F74" s="50">
        <f>[1]心血管内科!$E$4</f>
        <v>19.9600979414165</v>
      </c>
      <c r="G74" t="s">
        <v>59</v>
      </c>
      <c r="H74" t="s">
        <v>59</v>
      </c>
    </row>
    <row r="75" spans="1:8" x14ac:dyDescent="0.25">
      <c r="A75" t="s">
        <v>243</v>
      </c>
      <c r="B75" t="s">
        <v>59</v>
      </c>
      <c r="C75" t="s">
        <v>90</v>
      </c>
      <c r="D75" s="50" t="str">
        <f>[1]心血管内科!$O$5</f>
        <v>冠状动脉粥样硬化性心脏病</v>
      </c>
      <c r="E75" s="50" t="str">
        <f>[1]心血管内科!$I$5</f>
        <v>冠状动脉粥样硬化性心脏病</v>
      </c>
      <c r="F75" s="50" t="str">
        <f>[1]心血管内科!$C$5</f>
        <v>冠状动脉粥样硬化性心脏病</v>
      </c>
      <c r="G75" t="s">
        <v>59</v>
      </c>
      <c r="H75" t="s">
        <v>59</v>
      </c>
    </row>
    <row r="76" spans="1:8" x14ac:dyDescent="0.25">
      <c r="A76" t="s">
        <v>244</v>
      </c>
      <c r="B76" t="s">
        <v>59</v>
      </c>
      <c r="C76" t="s">
        <v>90</v>
      </c>
      <c r="D76" s="50" t="str">
        <f>[1]心血管内科!$N$5</f>
        <v>I25.1</v>
      </c>
      <c r="E76" s="50" t="str">
        <f>[1]心血管内科!$H$5</f>
        <v>I25.1</v>
      </c>
      <c r="F76" s="50" t="str">
        <f>[1]心血管内科!$B$5</f>
        <v>I25.1</v>
      </c>
      <c r="G76" t="s">
        <v>59</v>
      </c>
      <c r="H76" t="s">
        <v>59</v>
      </c>
    </row>
    <row r="77" spans="1:8" x14ac:dyDescent="0.25">
      <c r="A77" t="s">
        <v>245</v>
      </c>
      <c r="B77" t="s">
        <v>14</v>
      </c>
      <c r="C77" t="s">
        <v>90</v>
      </c>
      <c r="D77" s="50">
        <f>[1]心血管内科!$Q$5</f>
        <v>14.310464310464299</v>
      </c>
      <c r="E77" s="50">
        <f>[1]心血管内科!$K$5</f>
        <v>14.014895057549101</v>
      </c>
      <c r="F77" s="50">
        <f>[1]心血管内科!$E$5</f>
        <v>14.1561621474562</v>
      </c>
      <c r="G77" t="s">
        <v>59</v>
      </c>
      <c r="H77" t="s">
        <v>59</v>
      </c>
    </row>
    <row r="78" spans="1:8" x14ac:dyDescent="0.25">
      <c r="A78" t="s">
        <v>246</v>
      </c>
      <c r="B78" t="s">
        <v>59</v>
      </c>
      <c r="C78" t="s">
        <v>90</v>
      </c>
      <c r="D78" s="50" t="str">
        <f>[1]心血管内科!$O$6</f>
        <v>急性心肌梗死</v>
      </c>
      <c r="E78" s="50" t="str">
        <f>[1]心血管内科!$I$6</f>
        <v>急性心肌梗死</v>
      </c>
      <c r="F78" s="50" t="str">
        <f>[1]心血管内科!$C$6</f>
        <v>急性心肌梗死</v>
      </c>
      <c r="G78" t="s">
        <v>59</v>
      </c>
      <c r="H78" t="s">
        <v>59</v>
      </c>
    </row>
    <row r="79" spans="1:8" x14ac:dyDescent="0.25">
      <c r="A79" t="s">
        <v>247</v>
      </c>
      <c r="B79" t="s">
        <v>59</v>
      </c>
      <c r="C79" t="s">
        <v>90</v>
      </c>
      <c r="D79" s="50" t="str">
        <f>[1]心血管内科!$N$6</f>
        <v>I21</v>
      </c>
      <c r="E79" s="50" t="str">
        <f>[1]心血管内科!$H$6</f>
        <v>I21</v>
      </c>
      <c r="F79" s="50" t="str">
        <f>[1]心血管内科!$B$6</f>
        <v>I21</v>
      </c>
      <c r="G79" t="s">
        <v>59</v>
      </c>
      <c r="H79" t="s">
        <v>59</v>
      </c>
    </row>
    <row r="80" spans="1:8" x14ac:dyDescent="0.25">
      <c r="A80" t="s">
        <v>248</v>
      </c>
      <c r="B80" t="s">
        <v>14</v>
      </c>
      <c r="C80" t="s">
        <v>90</v>
      </c>
      <c r="D80" s="50">
        <f>[1]心血管内科!$Q$6</f>
        <v>10.8108108108108</v>
      </c>
      <c r="E80" s="50">
        <f>[1]心血管内科!$K$6</f>
        <v>12.0514556533514</v>
      </c>
      <c r="F80" s="50">
        <f>[1]心血管内科!$E$6</f>
        <v>11.326743447900601</v>
      </c>
      <c r="G80" t="s">
        <v>59</v>
      </c>
      <c r="H80" t="s">
        <v>59</v>
      </c>
    </row>
    <row r="81" spans="1:8" x14ac:dyDescent="0.25">
      <c r="A81" t="s">
        <v>249</v>
      </c>
      <c r="B81" t="s">
        <v>59</v>
      </c>
      <c r="C81" t="s">
        <v>90</v>
      </c>
      <c r="D81" s="50" t="str">
        <f>[1]心血管内科!$O$7</f>
        <v>瓣膜心内膜炎</v>
      </c>
      <c r="E81" s="50" t="str">
        <f>[1]心血管内科!$I$7</f>
        <v>脑梗死</v>
      </c>
      <c r="F81" s="50" t="str">
        <f>[1]心血管内科!$C$7</f>
        <v>脑梗死</v>
      </c>
      <c r="G81" t="s">
        <v>59</v>
      </c>
      <c r="H81" t="s">
        <v>59</v>
      </c>
    </row>
    <row r="82" spans="1:8" x14ac:dyDescent="0.25">
      <c r="A82" t="s">
        <v>250</v>
      </c>
      <c r="B82" t="s">
        <v>59</v>
      </c>
      <c r="C82" t="s">
        <v>90</v>
      </c>
      <c r="D82" s="50" t="str">
        <f>[1]心血管内科!$N$7</f>
        <v>I38</v>
      </c>
      <c r="E82" s="50" t="str">
        <f>[1]心血管内科!$H$7</f>
        <v>I63</v>
      </c>
      <c r="F82" s="50" t="str">
        <f>[1]心血管内科!$B$7</f>
        <v>I63</v>
      </c>
      <c r="G82" t="s">
        <v>59</v>
      </c>
      <c r="H82" t="s">
        <v>59</v>
      </c>
    </row>
    <row r="83" spans="1:8" x14ac:dyDescent="0.25">
      <c r="A83" t="s">
        <v>251</v>
      </c>
      <c r="B83" t="s">
        <v>14</v>
      </c>
      <c r="C83" t="s">
        <v>90</v>
      </c>
      <c r="D83" s="50">
        <f>[1]心血管内科!$Q$7</f>
        <v>3.9674289674289702</v>
      </c>
      <c r="E83" s="50">
        <f>[1]心血管内科!$K$7</f>
        <v>4.4008124576845002</v>
      </c>
      <c r="F83" s="50">
        <f>[1]心血管内科!$E$7</f>
        <v>5.66790604878934</v>
      </c>
      <c r="G83" t="s">
        <v>59</v>
      </c>
      <c r="H83" t="s">
        <v>59</v>
      </c>
    </row>
    <row r="84" spans="1:8" x14ac:dyDescent="0.25">
      <c r="A84" t="s">
        <v>252</v>
      </c>
      <c r="B84" t="s">
        <v>59</v>
      </c>
      <c r="C84" t="s">
        <v>90</v>
      </c>
      <c r="D84" s="50" t="str">
        <f>[1]心血管内科!$O$8</f>
        <v>脑梗死</v>
      </c>
      <c r="E84" s="50" t="str">
        <f>[1]心血管内科!$I$8</f>
        <v>心力衰竭</v>
      </c>
      <c r="F84" s="50" t="str">
        <f>[1]心血管内科!$C$8</f>
        <v>特发性(原发性)高血压</v>
      </c>
      <c r="G84" t="s">
        <v>59</v>
      </c>
      <c r="H84" t="s">
        <v>59</v>
      </c>
    </row>
    <row r="85" spans="1:8" x14ac:dyDescent="0.25">
      <c r="A85" t="s">
        <v>253</v>
      </c>
      <c r="B85" t="s">
        <v>59</v>
      </c>
      <c r="C85" t="s">
        <v>90</v>
      </c>
      <c r="D85" s="50" t="str">
        <f>[1]心血管内科!$N$8</f>
        <v>I63</v>
      </c>
      <c r="E85" s="50" t="str">
        <f>[1]心血管内科!$H$8</f>
        <v>I50</v>
      </c>
      <c r="F85" s="50" t="str">
        <f>[1]心血管内科!$B$8</f>
        <v>I10</v>
      </c>
      <c r="G85" t="s">
        <v>59</v>
      </c>
      <c r="H85" t="s">
        <v>59</v>
      </c>
    </row>
    <row r="86" spans="1:8" x14ac:dyDescent="0.25">
      <c r="A86" t="s">
        <v>254</v>
      </c>
      <c r="B86" t="s">
        <v>14</v>
      </c>
      <c r="C86" t="s">
        <v>90</v>
      </c>
      <c r="D86" s="50">
        <f>[1]心血管内科!$Q$8</f>
        <v>3.7075537075537102</v>
      </c>
      <c r="E86" s="50">
        <f>[1]心血管内科!$K$8</f>
        <v>3.6367153496469702</v>
      </c>
      <c r="F86" s="50">
        <f>[1]心血管内科!$E$8</f>
        <v>4.4345696925727802</v>
      </c>
      <c r="G86" t="s">
        <v>59</v>
      </c>
      <c r="H86" t="s">
        <v>59</v>
      </c>
    </row>
    <row r="87" spans="1:8" x14ac:dyDescent="0.25">
      <c r="A87" t="s">
        <v>255</v>
      </c>
      <c r="B87" t="s">
        <v>59</v>
      </c>
      <c r="C87" t="s">
        <v>90</v>
      </c>
      <c r="D87" s="51" t="str">
        <f>[2]心血管内科!$O$4</f>
        <v>药物洗脱冠状动脉支架置入</v>
      </c>
      <c r="E87" s="51" t="str">
        <f>[2]心血管内科!$I$4</f>
        <v>药物洗脱冠状动脉支架植入术</v>
      </c>
      <c r="F87" s="51" t="str">
        <f>[2]心血管内科!$C$4</f>
        <v>药物洗脱冠状动脉支架植入术</v>
      </c>
      <c r="G87" t="s">
        <v>59</v>
      </c>
      <c r="H87" t="s">
        <v>59</v>
      </c>
    </row>
    <row r="88" spans="1:8" x14ac:dyDescent="0.25">
      <c r="A88" t="s">
        <v>256</v>
      </c>
      <c r="B88" t="s">
        <v>59</v>
      </c>
      <c r="C88" t="s">
        <v>90</v>
      </c>
      <c r="D88" s="52">
        <f>[2]心血管内科!$N$4</f>
        <v>36.07</v>
      </c>
      <c r="E88" s="52">
        <f>[2]心血管内科!$H$4</f>
        <v>36.07</v>
      </c>
      <c r="F88" s="52" t="str">
        <f>[2]心血管内科!$B$4</f>
        <v>36.07</v>
      </c>
      <c r="G88" t="s">
        <v>59</v>
      </c>
      <c r="H88" t="s">
        <v>59</v>
      </c>
    </row>
    <row r="89" spans="1:8" x14ac:dyDescent="0.25">
      <c r="A89" t="s">
        <v>257</v>
      </c>
      <c r="B89" t="s">
        <v>14</v>
      </c>
      <c r="C89" t="s">
        <v>90</v>
      </c>
      <c r="D89" s="53">
        <f>[2]心血管内科!$Q$4</f>
        <v>73.509403761504601</v>
      </c>
      <c r="E89" s="53">
        <f>[2]心血管内科!$K$4</f>
        <v>87.262079062957497</v>
      </c>
      <c r="F89" s="53">
        <f>[2]心血管内科!$E$4</f>
        <v>86.641427798810199</v>
      </c>
      <c r="G89" t="s">
        <v>59</v>
      </c>
      <c r="H89" t="s">
        <v>59</v>
      </c>
    </row>
    <row r="90" spans="1:8" x14ac:dyDescent="0.25">
      <c r="A90" t="s">
        <v>258</v>
      </c>
      <c r="B90" t="s">
        <v>59</v>
      </c>
      <c r="C90" t="s">
        <v>90</v>
      </c>
      <c r="D90" s="54" t="str">
        <f>[2]心血管内科!$O$5</f>
        <v>冠状动脉药物涂层支架置入术</v>
      </c>
      <c r="E90" s="54" t="str">
        <f>[2]心血管内科!$I$5</f>
        <v>心脏病损腔内消融术</v>
      </c>
      <c r="F90" s="54" t="str">
        <f>[2]心血管内科!$C$5</f>
        <v>心脏病损腔内消融术</v>
      </c>
      <c r="G90" t="s">
        <v>59</v>
      </c>
      <c r="H90" t="s">
        <v>59</v>
      </c>
    </row>
    <row r="91" spans="1:8" x14ac:dyDescent="0.25">
      <c r="A91" t="s">
        <v>259</v>
      </c>
      <c r="B91" t="s">
        <v>59</v>
      </c>
      <c r="C91" t="s">
        <v>90</v>
      </c>
      <c r="D91" s="52">
        <f>[2]心血管内科!$N$5</f>
        <v>36.06</v>
      </c>
      <c r="E91" s="52">
        <f>[2]心血管内科!$H$5</f>
        <v>37.340000000000003</v>
      </c>
      <c r="F91" s="52" t="str">
        <f>[2]心血管内科!$B$5</f>
        <v>37.34</v>
      </c>
      <c r="G91" t="s">
        <v>59</v>
      </c>
      <c r="H91" t="s">
        <v>59</v>
      </c>
    </row>
    <row r="92" spans="1:8" x14ac:dyDescent="0.25">
      <c r="A92" t="s">
        <v>260</v>
      </c>
      <c r="B92" t="s">
        <v>14</v>
      </c>
      <c r="C92" t="s">
        <v>90</v>
      </c>
      <c r="D92" s="53">
        <f>[2]心血管内科!$Q$5</f>
        <v>8.3633453381352503</v>
      </c>
      <c r="E92" s="53">
        <f>[2]心血管内科!$K$5</f>
        <v>6.7349926793557797</v>
      </c>
      <c r="F92" s="53">
        <f>[2]心血管内科!$E$5</f>
        <v>8.7614926987560793</v>
      </c>
      <c r="G92" t="s">
        <v>59</v>
      </c>
      <c r="H92" t="s">
        <v>59</v>
      </c>
    </row>
    <row r="93" spans="1:8" x14ac:dyDescent="0.25">
      <c r="A93" t="s">
        <v>261</v>
      </c>
      <c r="B93" t="s">
        <v>59</v>
      </c>
      <c r="C93" t="s">
        <v>90</v>
      </c>
      <c r="D93" s="54" t="str">
        <f>[2]心血管内科!$O$6</f>
        <v>经导管心脏射频消融术</v>
      </c>
      <c r="E93" s="54" t="str">
        <f>[2]心血管内科!$I$6</f>
        <v>下腔静脉滤器植入术</v>
      </c>
      <c r="F93" s="54" t="str">
        <f>[2]心血管内科!$C$6</f>
        <v>冠状动脉血管腔内成形术(PTCA)</v>
      </c>
      <c r="G93" t="s">
        <v>59</v>
      </c>
      <c r="H93" t="s">
        <v>59</v>
      </c>
    </row>
    <row r="94" spans="1:8" x14ac:dyDescent="0.25">
      <c r="A94" t="s">
        <v>262</v>
      </c>
      <c r="B94" t="s">
        <v>59</v>
      </c>
      <c r="C94" t="s">
        <v>90</v>
      </c>
      <c r="D94" s="52">
        <f>[2]心血管内科!$N$6</f>
        <v>37.340000000000003</v>
      </c>
      <c r="E94" s="52" t="str">
        <f>[2]心血管内科!$H$6</f>
        <v>38.70</v>
      </c>
      <c r="F94" s="52" t="str">
        <f>[2]心血管内科!$B$6</f>
        <v>00.66</v>
      </c>
      <c r="G94" t="s">
        <v>59</v>
      </c>
      <c r="H94" t="s">
        <v>59</v>
      </c>
    </row>
    <row r="95" spans="1:8" x14ac:dyDescent="0.25">
      <c r="A95" t="s">
        <v>263</v>
      </c>
      <c r="B95" t="s">
        <v>14</v>
      </c>
      <c r="C95" t="s">
        <v>90</v>
      </c>
      <c r="D95" s="53">
        <f>[2]心血管内科!$Q$6</f>
        <v>8.1632653061224492</v>
      </c>
      <c r="E95" s="53">
        <f>[2]心血管内科!$K$6</f>
        <v>1.36652025378233</v>
      </c>
      <c r="F95" s="53">
        <f>[2]心血管内科!$E$6</f>
        <v>1.51433207138994</v>
      </c>
      <c r="G95" t="s">
        <v>59</v>
      </c>
      <c r="H95" t="s">
        <v>59</v>
      </c>
    </row>
    <row r="96" spans="1:8" x14ac:dyDescent="0.25">
      <c r="A96" t="s">
        <v>264</v>
      </c>
      <c r="B96" t="s">
        <v>59</v>
      </c>
      <c r="C96" t="s">
        <v>90</v>
      </c>
      <c r="D96" s="53" t="str">
        <f>[2]心血管内科!$O$7</f>
        <v>下腔静脉滤器置入术</v>
      </c>
      <c r="E96" s="53" t="str">
        <f>[2]心血管内科!$I$7</f>
        <v>冠状动脉血管腔内成形术(PTCA)</v>
      </c>
      <c r="F96" s="53" t="str">
        <f>[2]心血管内科!$C$7</f>
        <v>心房间隔缺损封堵术(闭合法)</v>
      </c>
      <c r="G96" t="s">
        <v>59</v>
      </c>
      <c r="H96" t="s">
        <v>59</v>
      </c>
    </row>
    <row r="97" spans="1:8" x14ac:dyDescent="0.25">
      <c r="A97" t="s">
        <v>265</v>
      </c>
      <c r="B97" t="s">
        <v>59</v>
      </c>
      <c r="C97" t="s">
        <v>90</v>
      </c>
      <c r="D97" s="54" t="str">
        <f>[2]心血管内科!$N$7</f>
        <v>38.7x</v>
      </c>
      <c r="E97" s="54" t="str">
        <f>[2]心血管内科!$H$7</f>
        <v>00.66</v>
      </c>
      <c r="F97" s="54" t="str">
        <f>[2]心血管内科!$B$7</f>
        <v>35.52</v>
      </c>
      <c r="G97" t="s">
        <v>59</v>
      </c>
      <c r="H97" t="s">
        <v>59</v>
      </c>
    </row>
    <row r="98" spans="1:8" x14ac:dyDescent="0.25">
      <c r="A98" t="s">
        <v>266</v>
      </c>
      <c r="B98" t="s">
        <v>14</v>
      </c>
      <c r="C98" t="s">
        <v>90</v>
      </c>
      <c r="D98" s="52">
        <f>[2]心血管内科!$Q$7</f>
        <v>2.2008803521408602</v>
      </c>
      <c r="E98" s="52">
        <f>[2]心血管内科!$K$7</f>
        <v>1.1713030746705699</v>
      </c>
      <c r="F98" s="52">
        <f>[2]心血管内科!$E$7</f>
        <v>0.48674959437533799</v>
      </c>
      <c r="G98" t="s">
        <v>59</v>
      </c>
      <c r="H98" t="s">
        <v>59</v>
      </c>
    </row>
    <row r="99" spans="1:8" x14ac:dyDescent="0.25">
      <c r="A99" t="s">
        <v>267</v>
      </c>
      <c r="B99" t="s">
        <v>59</v>
      </c>
      <c r="C99" t="s">
        <v>90</v>
      </c>
      <c r="D99" s="53" t="str">
        <f>[2]心血管内科!$O$8</f>
        <v>经皮冠状动脉腔内血管成形术[PTCA]</v>
      </c>
      <c r="E99" s="53" t="str">
        <f>[2]心血管内科!$I$8</f>
        <v>下腔静脉植入物去除术</v>
      </c>
      <c r="F99" s="53" t="str">
        <f>[2]心血管内科!$C$8</f>
        <v>胸主动脉血管腔内成形术</v>
      </c>
      <c r="G99" t="s">
        <v>59</v>
      </c>
      <c r="H99" t="s">
        <v>59</v>
      </c>
    </row>
    <row r="100" spans="1:8" x14ac:dyDescent="0.25">
      <c r="A100" t="s">
        <v>268</v>
      </c>
      <c r="B100" t="s">
        <v>59</v>
      </c>
      <c r="C100" t="s">
        <v>90</v>
      </c>
      <c r="D100" s="50" t="str">
        <f>[2]心血管内科!$N$8</f>
        <v>00.66</v>
      </c>
      <c r="E100" s="50">
        <f>[2]心血管内科!$H$8</f>
        <v>39.49</v>
      </c>
      <c r="F100" s="50" t="str">
        <f>[2]心血管内科!$B$8</f>
        <v>39.50</v>
      </c>
      <c r="G100" t="s">
        <v>59</v>
      </c>
      <c r="H100" t="s">
        <v>59</v>
      </c>
    </row>
    <row r="101" spans="1:8" x14ac:dyDescent="0.25">
      <c r="A101" t="s">
        <v>269</v>
      </c>
      <c r="B101" t="s">
        <v>14</v>
      </c>
      <c r="C101" t="s">
        <v>90</v>
      </c>
      <c r="D101" s="50">
        <f>[2]心血管内科!$Q$8</f>
        <v>1.72068827531012</v>
      </c>
      <c r="E101" s="50">
        <f>[2]心血管内科!$K$8</f>
        <v>0.78086871644704703</v>
      </c>
      <c r="F101" s="50">
        <f>[2]心血管内科!$E$8</f>
        <v>0.48674959437533799</v>
      </c>
      <c r="G101" t="s">
        <v>59</v>
      </c>
      <c r="H101" t="s">
        <v>59</v>
      </c>
    </row>
    <row r="104" spans="1:8" x14ac:dyDescent="0.25">
      <c r="D104" s="22"/>
    </row>
    <row r="105" spans="1:8" x14ac:dyDescent="0.25">
      <c r="D105" s="23"/>
      <c r="E105" s="10"/>
      <c r="F105" s="10"/>
    </row>
    <row r="106" spans="1:8" x14ac:dyDescent="0.25">
      <c r="D106" s="24"/>
      <c r="E106" s="10"/>
      <c r="F106" s="10"/>
    </row>
    <row r="107" spans="1:8" x14ac:dyDescent="0.25">
      <c r="D107" s="25"/>
      <c r="E107" s="10"/>
      <c r="F107" s="10"/>
    </row>
    <row r="108" spans="1:8" x14ac:dyDescent="0.25">
      <c r="D108" s="26"/>
      <c r="E108" s="10"/>
      <c r="F108" s="10"/>
    </row>
    <row r="109" spans="1:8" x14ac:dyDescent="0.25">
      <c r="D109" s="24"/>
      <c r="E109" s="10"/>
      <c r="F109" s="10"/>
    </row>
    <row r="110" spans="1:8" x14ac:dyDescent="0.25">
      <c r="D110" s="27"/>
      <c r="E110" s="10"/>
      <c r="F110" s="10"/>
    </row>
    <row r="111" spans="1:8" x14ac:dyDescent="0.25">
      <c r="D111" s="28"/>
      <c r="E111" s="10"/>
      <c r="F111" s="10"/>
    </row>
    <row r="112" spans="1:8" x14ac:dyDescent="0.25">
      <c r="D112" s="24"/>
      <c r="E112" s="10"/>
      <c r="F112" s="10"/>
    </row>
    <row r="113" spans="4:6" x14ac:dyDescent="0.25">
      <c r="D113" s="24"/>
      <c r="E113" s="10"/>
      <c r="F113" s="10"/>
    </row>
    <row r="114" spans="4:6" x14ac:dyDescent="0.25">
      <c r="D114" s="25"/>
      <c r="E114" s="10"/>
      <c r="F114" s="10"/>
    </row>
    <row r="115" spans="4:6" x14ac:dyDescent="0.25">
      <c r="D115" s="26"/>
      <c r="E115" s="10"/>
      <c r="F115" s="10"/>
    </row>
    <row r="116" spans="4:6" x14ac:dyDescent="0.25">
      <c r="D116" s="24"/>
      <c r="E116" s="10"/>
      <c r="F116" s="10"/>
    </row>
    <row r="117" spans="4:6" x14ac:dyDescent="0.25">
      <c r="D117" s="10"/>
      <c r="E117" s="10"/>
      <c r="F117" s="10"/>
    </row>
    <row r="118" spans="4:6" x14ac:dyDescent="0.25">
      <c r="D118" s="10"/>
      <c r="E118" s="10"/>
      <c r="F118" s="10"/>
    </row>
  </sheetData>
  <phoneticPr fontId="10" type="noConversion"/>
  <conditionalFormatting sqref="D88">
    <cfRule type="duplicateValues" dxfId="279" priority="12"/>
  </conditionalFormatting>
  <conditionalFormatting sqref="E88">
    <cfRule type="duplicateValues" dxfId="278" priority="4"/>
  </conditionalFormatting>
  <conditionalFormatting sqref="F88">
    <cfRule type="duplicateValues" dxfId="277" priority="8"/>
  </conditionalFormatting>
  <conditionalFormatting sqref="D91">
    <cfRule type="duplicateValues" dxfId="276" priority="11"/>
  </conditionalFormatting>
  <conditionalFormatting sqref="E91">
    <cfRule type="duplicateValues" dxfId="275" priority="3"/>
  </conditionalFormatting>
  <conditionalFormatting sqref="F91">
    <cfRule type="duplicateValues" dxfId="274" priority="7"/>
  </conditionalFormatting>
  <conditionalFormatting sqref="D94">
    <cfRule type="duplicateValues" dxfId="273" priority="9"/>
  </conditionalFormatting>
  <conditionalFormatting sqref="E94">
    <cfRule type="duplicateValues" dxfId="272" priority="1"/>
  </conditionalFormatting>
  <conditionalFormatting sqref="F94">
    <cfRule type="duplicateValues" dxfId="271" priority="5"/>
  </conditionalFormatting>
  <conditionalFormatting sqref="D98">
    <cfRule type="duplicateValues" dxfId="270" priority="10"/>
  </conditionalFormatting>
  <conditionalFormatting sqref="E98">
    <cfRule type="duplicateValues" dxfId="269" priority="2"/>
  </conditionalFormatting>
  <conditionalFormatting sqref="F98">
    <cfRule type="duplicateValues" dxfId="268" priority="6"/>
  </conditionalFormatting>
  <conditionalFormatting sqref="D105">
    <cfRule type="duplicateValues" dxfId="267" priority="16"/>
  </conditionalFormatting>
  <conditionalFormatting sqref="D108">
    <cfRule type="duplicateValues" dxfId="266" priority="15"/>
  </conditionalFormatting>
  <conditionalFormatting sqref="D111">
    <cfRule type="duplicateValues" dxfId="265" priority="13"/>
  </conditionalFormatting>
  <conditionalFormatting sqref="D115">
    <cfRule type="duplicateValues" dxfId="264" priority="14"/>
  </conditionalFormatting>
  <pageMargins left="0.69930555555555596" right="0.69930555555555596" top="0.75" bottom="0.75" header="0.3" footer="0.3"/>
  <ignoredErrors>
    <ignoredError sqref="A2:B31 G2:H31 G34:H101 A34:B101 A1:H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1"/>
  <sheetViews>
    <sheetView topLeftCell="A20"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47.3541383989145</v>
      </c>
      <c r="E2" s="5">
        <v>43.012422360248401</v>
      </c>
      <c r="F2" s="5">
        <v>33.203631647211402</v>
      </c>
      <c r="G2" t="s">
        <v>16</v>
      </c>
      <c r="H2" t="s">
        <v>17</v>
      </c>
    </row>
    <row r="3" spans="1:8" x14ac:dyDescent="0.25">
      <c r="A3" t="s">
        <v>18</v>
      </c>
      <c r="B3" t="s">
        <v>14</v>
      </c>
      <c r="C3" t="s">
        <v>15</v>
      </c>
      <c r="D3" s="5">
        <v>2.0057306590257902</v>
      </c>
      <c r="E3" s="5">
        <v>5.0541516245487399</v>
      </c>
      <c r="F3" s="5">
        <v>0.390625</v>
      </c>
      <c r="G3" t="s">
        <v>19</v>
      </c>
      <c r="H3" t="s">
        <v>20</v>
      </c>
    </row>
    <row r="4" spans="1:8" x14ac:dyDescent="0.25">
      <c r="A4" t="s">
        <v>21</v>
      </c>
      <c r="B4" t="s">
        <v>14</v>
      </c>
      <c r="C4" t="s">
        <v>15</v>
      </c>
      <c r="D4" s="5">
        <v>87.965616045845294</v>
      </c>
      <c r="E4" s="5">
        <v>84.115523465704001</v>
      </c>
      <c r="F4" s="5">
        <v>80.078125</v>
      </c>
      <c r="G4" t="s">
        <v>22</v>
      </c>
      <c r="H4" t="s">
        <v>23</v>
      </c>
    </row>
    <row r="5" spans="1:8" x14ac:dyDescent="0.25">
      <c r="A5" t="s">
        <v>24</v>
      </c>
      <c r="B5" t="s">
        <v>14</v>
      </c>
      <c r="C5" t="s">
        <v>15</v>
      </c>
      <c r="D5" s="5">
        <v>99.86</v>
      </c>
      <c r="E5" s="5">
        <v>100</v>
      </c>
      <c r="F5" s="5">
        <v>98.96</v>
      </c>
      <c r="G5" t="s">
        <v>25</v>
      </c>
      <c r="H5" t="s">
        <v>26</v>
      </c>
    </row>
    <row r="6" spans="1:8" x14ac:dyDescent="0.25">
      <c r="A6" t="s">
        <v>33</v>
      </c>
      <c r="B6" t="s">
        <v>14</v>
      </c>
      <c r="C6" t="s">
        <v>34</v>
      </c>
      <c r="D6" s="5">
        <v>0</v>
      </c>
      <c r="E6" s="5">
        <v>0</v>
      </c>
      <c r="F6" s="5">
        <v>0</v>
      </c>
      <c r="G6" t="s">
        <v>35</v>
      </c>
      <c r="H6" t="s">
        <v>36</v>
      </c>
    </row>
    <row r="7" spans="1:8" x14ac:dyDescent="0.25">
      <c r="A7" t="s">
        <v>37</v>
      </c>
      <c r="B7" t="s">
        <v>14</v>
      </c>
      <c r="C7" t="s">
        <v>34</v>
      </c>
      <c r="D7" s="5">
        <v>0.26</v>
      </c>
      <c r="E7" s="5">
        <v>0</v>
      </c>
      <c r="F7" s="5">
        <v>0</v>
      </c>
      <c r="G7" t="s">
        <v>39</v>
      </c>
      <c r="H7" t="s">
        <v>40</v>
      </c>
    </row>
    <row r="8" spans="1:8" x14ac:dyDescent="0.25">
      <c r="A8" t="s">
        <v>41</v>
      </c>
      <c r="B8" t="s">
        <v>14</v>
      </c>
      <c r="C8" t="s">
        <v>10</v>
      </c>
      <c r="D8" s="5"/>
      <c r="E8" s="5"/>
      <c r="F8" s="5"/>
      <c r="G8" t="s">
        <v>39</v>
      </c>
      <c r="H8" t="s">
        <v>44</v>
      </c>
    </row>
    <row r="9" spans="1:8" x14ac:dyDescent="0.25">
      <c r="A9" t="s">
        <v>51</v>
      </c>
      <c r="B9" t="s">
        <v>14</v>
      </c>
      <c r="C9" t="s">
        <v>34</v>
      </c>
      <c r="D9" s="5">
        <v>0</v>
      </c>
      <c r="E9" s="5">
        <v>0</v>
      </c>
      <c r="F9" s="5">
        <v>0</v>
      </c>
      <c r="G9" t="s">
        <v>19</v>
      </c>
      <c r="H9" t="s">
        <v>52</v>
      </c>
    </row>
    <row r="10" spans="1:8" x14ac:dyDescent="0.25">
      <c r="A10" t="s">
        <v>57</v>
      </c>
      <c r="B10" t="s">
        <v>14</v>
      </c>
      <c r="C10" t="s">
        <v>38</v>
      </c>
      <c r="D10" s="5">
        <v>0.93</v>
      </c>
      <c r="E10" s="5">
        <v>2.21</v>
      </c>
      <c r="F10" s="5">
        <v>1.28</v>
      </c>
      <c r="G10" t="s">
        <v>58</v>
      </c>
      <c r="H10" t="s">
        <v>59</v>
      </c>
    </row>
    <row r="11" spans="1:8" x14ac:dyDescent="0.25">
      <c r="A11" t="s">
        <v>63</v>
      </c>
      <c r="B11" t="s">
        <v>64</v>
      </c>
      <c r="C11" t="s">
        <v>61</v>
      </c>
      <c r="D11" s="5">
        <v>61.4555814513553</v>
      </c>
      <c r="E11" s="5">
        <v>62.743386385250602</v>
      </c>
      <c r="F11" s="5">
        <v>53.341249549649802</v>
      </c>
      <c r="G11" t="s">
        <v>35</v>
      </c>
      <c r="H11" t="s">
        <v>65</v>
      </c>
    </row>
    <row r="12" spans="1:8" x14ac:dyDescent="0.25">
      <c r="A12" t="s">
        <v>66</v>
      </c>
      <c r="B12" t="s">
        <v>14</v>
      </c>
      <c r="C12" t="s">
        <v>61</v>
      </c>
      <c r="D12" s="5">
        <v>90.45</v>
      </c>
      <c r="E12" s="5">
        <v>91.12</v>
      </c>
      <c r="F12" s="5">
        <v>76.05</v>
      </c>
      <c r="G12" t="s">
        <v>39</v>
      </c>
      <c r="H12" t="s">
        <v>67</v>
      </c>
    </row>
    <row r="13" spans="1:8" x14ac:dyDescent="0.25">
      <c r="A13" t="s">
        <v>68</v>
      </c>
      <c r="B13" t="s">
        <v>14</v>
      </c>
      <c r="C13" t="s">
        <v>61</v>
      </c>
      <c r="D13" s="5">
        <v>98.74</v>
      </c>
      <c r="E13" s="5">
        <v>99.36</v>
      </c>
      <c r="F13" s="5">
        <v>95.76</v>
      </c>
      <c r="G13" t="s">
        <v>39</v>
      </c>
      <c r="H13" t="s">
        <v>69</v>
      </c>
    </row>
    <row r="14" spans="1:8" x14ac:dyDescent="0.25">
      <c r="A14" t="s">
        <v>74</v>
      </c>
      <c r="B14" t="s">
        <v>14</v>
      </c>
      <c r="C14" t="s">
        <v>75</v>
      </c>
      <c r="D14" s="46">
        <f>(5416100+771120)/22790299*100</f>
        <v>27.148481026949227</v>
      </c>
      <c r="E14" s="18">
        <f>5640850/20678422*100</f>
        <v>27.278919058717342</v>
      </c>
      <c r="F14" s="46">
        <f>4478610/20353525*100</f>
        <v>22.004100026899518</v>
      </c>
      <c r="G14" t="s">
        <v>35</v>
      </c>
      <c r="H14" t="s">
        <v>76</v>
      </c>
    </row>
    <row r="15" spans="1:8" x14ac:dyDescent="0.25">
      <c r="A15" t="s">
        <v>91</v>
      </c>
      <c r="B15" t="s">
        <v>92</v>
      </c>
      <c r="C15" t="s">
        <v>15</v>
      </c>
      <c r="D15" s="5">
        <v>10.5</v>
      </c>
      <c r="E15" s="5">
        <v>10.07</v>
      </c>
      <c r="F15" s="5">
        <v>9.1999999999999993</v>
      </c>
      <c r="G15" t="s">
        <v>93</v>
      </c>
      <c r="H15" t="s">
        <v>94</v>
      </c>
    </row>
    <row r="16" spans="1:8" x14ac:dyDescent="0.25">
      <c r="A16" t="s">
        <v>95</v>
      </c>
      <c r="B16" t="s">
        <v>59</v>
      </c>
      <c r="C16" t="s">
        <v>34</v>
      </c>
      <c r="D16" s="5">
        <v>4.43</v>
      </c>
      <c r="E16" s="5">
        <v>4.1100000000000003</v>
      </c>
      <c r="F16" s="5">
        <v>3.25</v>
      </c>
      <c r="G16" t="s">
        <v>96</v>
      </c>
      <c r="H16" t="s">
        <v>59</v>
      </c>
    </row>
    <row r="17" spans="1:8" x14ac:dyDescent="0.25">
      <c r="A17" t="s">
        <v>97</v>
      </c>
      <c r="B17" t="s">
        <v>98</v>
      </c>
      <c r="C17" t="s">
        <v>34</v>
      </c>
      <c r="D17" s="5">
        <v>80</v>
      </c>
      <c r="E17" s="5">
        <v>73</v>
      </c>
      <c r="F17" s="5">
        <v>84</v>
      </c>
      <c r="G17" t="s">
        <v>99</v>
      </c>
      <c r="H17" t="s">
        <v>59</v>
      </c>
    </row>
    <row r="18" spans="1:8" x14ac:dyDescent="0.25">
      <c r="A18" t="s">
        <v>104</v>
      </c>
      <c r="B18" t="s">
        <v>105</v>
      </c>
      <c r="C18" t="s">
        <v>15</v>
      </c>
      <c r="D18" s="37">
        <v>16</v>
      </c>
      <c r="E18" s="37">
        <v>16</v>
      </c>
      <c r="F18" s="37">
        <v>16</v>
      </c>
      <c r="G18" t="s">
        <v>58</v>
      </c>
      <c r="H18" t="s">
        <v>59</v>
      </c>
    </row>
    <row r="19" spans="1:8" x14ac:dyDescent="0.25">
      <c r="A19" t="s">
        <v>106</v>
      </c>
      <c r="B19" t="s">
        <v>105</v>
      </c>
      <c r="C19" t="s">
        <v>15</v>
      </c>
      <c r="D19" s="37">
        <v>17</v>
      </c>
      <c r="E19" s="37">
        <v>16</v>
      </c>
      <c r="F19" s="37">
        <v>18</v>
      </c>
      <c r="G19" t="s">
        <v>58</v>
      </c>
      <c r="H19" t="s">
        <v>59</v>
      </c>
    </row>
    <row r="20" spans="1:8" x14ac:dyDescent="0.25">
      <c r="A20" t="s">
        <v>107</v>
      </c>
      <c r="B20" t="s">
        <v>14</v>
      </c>
      <c r="C20" t="s">
        <v>15</v>
      </c>
      <c r="D20" s="5">
        <v>104.6</v>
      </c>
      <c r="E20" s="5">
        <v>87.98</v>
      </c>
      <c r="F20" s="5">
        <v>96.23</v>
      </c>
      <c r="G20" t="s">
        <v>58</v>
      </c>
      <c r="H20" t="s">
        <v>108</v>
      </c>
    </row>
    <row r="21" spans="1:8" x14ac:dyDescent="0.25">
      <c r="A21" t="s">
        <v>112</v>
      </c>
      <c r="B21" t="s">
        <v>59</v>
      </c>
      <c r="C21" t="s">
        <v>102</v>
      </c>
      <c r="D21" s="5">
        <f>D43/D19</f>
        <v>0.41176470588235292</v>
      </c>
      <c r="E21" s="5">
        <f>E43/E19</f>
        <v>0.375</v>
      </c>
      <c r="F21" s="5">
        <f>F43/F19</f>
        <v>0.22222222222222221</v>
      </c>
      <c r="G21" t="s">
        <v>110</v>
      </c>
      <c r="H21" t="s">
        <v>113</v>
      </c>
    </row>
    <row r="22" spans="1:8" x14ac:dyDescent="0.25">
      <c r="A22" t="s">
        <v>114</v>
      </c>
      <c r="B22" t="s">
        <v>59</v>
      </c>
      <c r="C22" t="s">
        <v>102</v>
      </c>
      <c r="D22" s="5">
        <f>D44/D19</f>
        <v>1.2352941176470589</v>
      </c>
      <c r="E22" s="5">
        <f>E44/E19</f>
        <v>1.0625</v>
      </c>
      <c r="F22" s="5">
        <f>F44/F19</f>
        <v>0.94444444444444442</v>
      </c>
      <c r="G22" t="s">
        <v>110</v>
      </c>
      <c r="H22" t="s">
        <v>115</v>
      </c>
    </row>
    <row r="23" spans="1:8" x14ac:dyDescent="0.25">
      <c r="A23" t="s">
        <v>116</v>
      </c>
      <c r="B23" t="s">
        <v>117</v>
      </c>
      <c r="C23" t="s">
        <v>118</v>
      </c>
      <c r="D23" s="5">
        <v>46.153091846153799</v>
      </c>
      <c r="E23" s="5">
        <v>103.3668596</v>
      </c>
      <c r="F23" s="5">
        <v>48.112997</v>
      </c>
      <c r="G23" t="s">
        <v>119</v>
      </c>
      <c r="H23" t="s">
        <v>59</v>
      </c>
    </row>
    <row r="24" spans="1:8" x14ac:dyDescent="0.25">
      <c r="A24" t="s">
        <v>120</v>
      </c>
      <c r="B24" t="s">
        <v>117</v>
      </c>
      <c r="C24" t="s">
        <v>118</v>
      </c>
      <c r="D24" s="5">
        <v>68.865008461538494</v>
      </c>
      <c r="E24" s="5">
        <v>158.99297899999999</v>
      </c>
      <c r="F24" s="5">
        <v>74.976900900000004</v>
      </c>
      <c r="G24" t="s">
        <v>121</v>
      </c>
      <c r="H24" t="s">
        <v>59</v>
      </c>
    </row>
    <row r="25" spans="1:8" x14ac:dyDescent="0.25">
      <c r="A25" t="s">
        <v>122</v>
      </c>
      <c r="B25" t="s">
        <v>117</v>
      </c>
      <c r="C25" t="s">
        <v>118</v>
      </c>
      <c r="D25" s="5">
        <v>35.992213197360499</v>
      </c>
      <c r="E25" s="5">
        <v>30.118548834498799</v>
      </c>
      <c r="F25" s="5">
        <v>26.729442777777798</v>
      </c>
      <c r="G25" t="s">
        <v>123</v>
      </c>
      <c r="H25" t="s">
        <v>59</v>
      </c>
    </row>
    <row r="26" spans="1:8" x14ac:dyDescent="0.25">
      <c r="A26" t="s">
        <v>124</v>
      </c>
      <c r="B26" t="s">
        <v>117</v>
      </c>
      <c r="C26" t="s">
        <v>118</v>
      </c>
      <c r="D26" s="5">
        <v>53.703965806838603</v>
      </c>
      <c r="E26" s="5">
        <v>46.326625582750601</v>
      </c>
      <c r="F26" s="5">
        <v>41.653833833333302</v>
      </c>
      <c r="G26" t="s">
        <v>125</v>
      </c>
      <c r="H26" t="s">
        <v>59</v>
      </c>
    </row>
    <row r="27" spans="1:8" x14ac:dyDescent="0.25">
      <c r="A27" t="s">
        <v>126</v>
      </c>
      <c r="B27" t="s">
        <v>127</v>
      </c>
      <c r="C27" t="s">
        <v>118</v>
      </c>
      <c r="D27" s="5">
        <v>2.49119373776908</v>
      </c>
      <c r="E27" s="5">
        <v>2.5237442922374398</v>
      </c>
      <c r="F27" s="5">
        <v>4.3301369863013699</v>
      </c>
      <c r="G27" t="s">
        <v>39</v>
      </c>
      <c r="H27" t="s">
        <v>128</v>
      </c>
    </row>
    <row r="28" spans="1:8" x14ac:dyDescent="0.25">
      <c r="A28" t="s">
        <v>129</v>
      </c>
      <c r="B28" t="s">
        <v>14</v>
      </c>
      <c r="C28" t="s">
        <v>118</v>
      </c>
      <c r="D28" s="5">
        <v>23.101193145803901</v>
      </c>
      <c r="E28" s="5">
        <v>23.332449296243698</v>
      </c>
      <c r="F28" s="5">
        <v>22.619508526825399</v>
      </c>
      <c r="G28" t="s">
        <v>130</v>
      </c>
      <c r="H28" t="s">
        <v>131</v>
      </c>
    </row>
    <row r="29" spans="1:8" x14ac:dyDescent="0.25">
      <c r="A29" t="s">
        <v>132</v>
      </c>
      <c r="B29" t="s">
        <v>117</v>
      </c>
      <c r="C29" t="s">
        <v>118</v>
      </c>
      <c r="D29" s="5">
        <v>2597.225997</v>
      </c>
      <c r="E29" s="5">
        <v>2215.0880579999998</v>
      </c>
      <c r="F29" s="5">
        <v>2127.057577</v>
      </c>
      <c r="G29" t="s">
        <v>59</v>
      </c>
      <c r="H29" t="s">
        <v>133</v>
      </c>
    </row>
    <row r="30" spans="1:8" x14ac:dyDescent="0.25">
      <c r="A30" t="s">
        <v>134</v>
      </c>
      <c r="B30" t="s">
        <v>117</v>
      </c>
      <c r="C30" t="s">
        <v>118</v>
      </c>
      <c r="D30" s="5">
        <v>599.99019399999997</v>
      </c>
      <c r="E30" s="5">
        <v>516.83429799999999</v>
      </c>
      <c r="F30" s="5">
        <v>481.12997000000001</v>
      </c>
      <c r="G30" t="s">
        <v>59</v>
      </c>
      <c r="H30" t="s">
        <v>59</v>
      </c>
    </row>
    <row r="31" spans="1:8" x14ac:dyDescent="0.25">
      <c r="A31" t="s">
        <v>135</v>
      </c>
      <c r="B31" t="s">
        <v>117</v>
      </c>
      <c r="C31" t="s">
        <v>118</v>
      </c>
      <c r="D31" s="5">
        <v>895.24510999999995</v>
      </c>
      <c r="E31" s="5">
        <v>794.96489499999996</v>
      </c>
      <c r="F31" s="5">
        <v>749.76900899999998</v>
      </c>
      <c r="G31" t="s">
        <v>59</v>
      </c>
      <c r="H31" t="s">
        <v>136</v>
      </c>
    </row>
    <row r="32" spans="1:8" x14ac:dyDescent="0.25">
      <c r="A32" t="s">
        <v>216</v>
      </c>
      <c r="B32" t="s">
        <v>117</v>
      </c>
      <c r="D32" s="17">
        <v>1682.75</v>
      </c>
      <c r="E32" s="17">
        <v>1453.6</v>
      </c>
      <c r="F32" s="17">
        <v>1278.83</v>
      </c>
    </row>
    <row r="33" spans="1:8" x14ac:dyDescent="0.25">
      <c r="A33" t="s">
        <v>143</v>
      </c>
      <c r="B33" t="s">
        <v>14</v>
      </c>
      <c r="D33" s="15">
        <v>26.3</v>
      </c>
      <c r="E33" s="15">
        <v>24.07</v>
      </c>
      <c r="F33" s="15">
        <v>22.3</v>
      </c>
    </row>
    <row r="34" spans="1:8" x14ac:dyDescent="0.25">
      <c r="A34" t="s">
        <v>137</v>
      </c>
      <c r="B34" t="s">
        <v>138</v>
      </c>
      <c r="C34" t="s">
        <v>139</v>
      </c>
      <c r="D34" s="5"/>
      <c r="E34" s="5"/>
      <c r="F34" s="5"/>
      <c r="G34" t="s">
        <v>35</v>
      </c>
      <c r="H34" t="s">
        <v>140</v>
      </c>
    </row>
    <row r="35" spans="1:8" x14ac:dyDescent="0.25">
      <c r="A35" t="s">
        <v>217</v>
      </c>
      <c r="B35" t="s">
        <v>14</v>
      </c>
      <c r="C35" t="s">
        <v>118</v>
      </c>
      <c r="D35" s="5">
        <v>3.4911444404427798</v>
      </c>
      <c r="E35" s="5">
        <v>3.4283474973255399</v>
      </c>
      <c r="F35" s="5">
        <v>2.3956173801307501</v>
      </c>
      <c r="G35" t="s">
        <v>22</v>
      </c>
      <c r="H35" t="s">
        <v>218</v>
      </c>
    </row>
    <row r="36" spans="1:8" x14ac:dyDescent="0.25">
      <c r="A36" t="s">
        <v>219</v>
      </c>
      <c r="B36" t="s">
        <v>14</v>
      </c>
      <c r="C36" t="s">
        <v>118</v>
      </c>
      <c r="D36" s="5">
        <v>96.508855559557205</v>
      </c>
      <c r="E36" s="5">
        <v>96.571652502674496</v>
      </c>
      <c r="F36" s="5">
        <v>97.604382619869298</v>
      </c>
      <c r="G36" t="s">
        <v>22</v>
      </c>
      <c r="H36" t="s">
        <v>220</v>
      </c>
    </row>
    <row r="37" spans="1:8" x14ac:dyDescent="0.25">
      <c r="A37" t="s">
        <v>144</v>
      </c>
      <c r="B37" t="s">
        <v>14</v>
      </c>
      <c r="C37" t="s">
        <v>118</v>
      </c>
      <c r="D37" s="5">
        <v>17.251591313486301</v>
      </c>
      <c r="E37" s="5">
        <v>4.13860357857157</v>
      </c>
      <c r="F37" s="5">
        <v>4.22269888288203</v>
      </c>
      <c r="G37" t="s">
        <v>35</v>
      </c>
      <c r="H37" t="s">
        <v>145</v>
      </c>
    </row>
    <row r="38" spans="1:8" x14ac:dyDescent="0.25">
      <c r="A38" t="s">
        <v>146</v>
      </c>
      <c r="B38" t="s">
        <v>14</v>
      </c>
      <c r="C38" t="s">
        <v>118</v>
      </c>
      <c r="D38" s="5">
        <v>2.2728364936925001</v>
      </c>
      <c r="E38" s="5">
        <v>48.359272543651699</v>
      </c>
      <c r="F38" s="5">
        <v>15.967104684382599</v>
      </c>
      <c r="G38" t="s">
        <v>35</v>
      </c>
      <c r="H38" t="s">
        <v>147</v>
      </c>
    </row>
    <row r="39" spans="1:8" x14ac:dyDescent="0.25">
      <c r="A39" t="s">
        <v>148</v>
      </c>
      <c r="B39" t="s">
        <v>14</v>
      </c>
      <c r="C39" t="s">
        <v>118</v>
      </c>
      <c r="D39" s="5">
        <v>6.1698801772953402</v>
      </c>
      <c r="E39" s="5">
        <v>28.929785638545201</v>
      </c>
      <c r="F39" s="5">
        <v>-6.6898599490000699</v>
      </c>
      <c r="G39" t="s">
        <v>35</v>
      </c>
      <c r="H39" t="s">
        <v>149</v>
      </c>
    </row>
    <row r="40" spans="1:8" x14ac:dyDescent="0.25">
      <c r="A40" t="s">
        <v>150</v>
      </c>
      <c r="B40" t="s">
        <v>14</v>
      </c>
      <c r="C40" t="s">
        <v>118</v>
      </c>
      <c r="D40" s="5">
        <v>65.422451255587902</v>
      </c>
      <c r="E40" s="5">
        <v>37.3494202921216</v>
      </c>
      <c r="F40" s="5">
        <v>48.422107188062</v>
      </c>
      <c r="G40" t="s">
        <v>35</v>
      </c>
      <c r="H40" t="s">
        <v>151</v>
      </c>
    </row>
    <row r="41" spans="1:8" x14ac:dyDescent="0.25">
      <c r="A41" t="s">
        <v>152</v>
      </c>
      <c r="B41" t="s">
        <v>14</v>
      </c>
      <c r="C41" t="s">
        <v>118</v>
      </c>
      <c r="D41" s="5">
        <v>4.4620094900502796</v>
      </c>
      <c r="E41" s="5">
        <v>-18.654581255467701</v>
      </c>
      <c r="F41" s="5">
        <v>-23.614237093458101</v>
      </c>
      <c r="G41" t="s">
        <v>35</v>
      </c>
      <c r="H41" t="s">
        <v>153</v>
      </c>
    </row>
    <row r="42" spans="1:8" x14ac:dyDescent="0.25">
      <c r="A42" t="s">
        <v>164</v>
      </c>
      <c r="B42" t="s">
        <v>59</v>
      </c>
      <c r="C42" t="s">
        <v>102</v>
      </c>
      <c r="D42" s="5">
        <v>0.33</v>
      </c>
      <c r="E42" s="5">
        <v>0.35</v>
      </c>
      <c r="F42" s="5">
        <v>0.24</v>
      </c>
      <c r="G42" t="s">
        <v>165</v>
      </c>
      <c r="H42" t="s">
        <v>166</v>
      </c>
    </row>
    <row r="43" spans="1:8" x14ac:dyDescent="0.25">
      <c r="A43" t="s">
        <v>167</v>
      </c>
      <c r="B43" t="s">
        <v>101</v>
      </c>
      <c r="C43" t="s">
        <v>102</v>
      </c>
      <c r="D43" s="37">
        <v>7</v>
      </c>
      <c r="E43" s="37">
        <v>6</v>
      </c>
      <c r="F43" s="37">
        <v>4</v>
      </c>
      <c r="G43" t="s">
        <v>168</v>
      </c>
      <c r="H43" t="s">
        <v>59</v>
      </c>
    </row>
    <row r="44" spans="1:8" x14ac:dyDescent="0.25">
      <c r="A44" t="s">
        <v>169</v>
      </c>
      <c r="B44" t="s">
        <v>101</v>
      </c>
      <c r="C44" t="s">
        <v>102</v>
      </c>
      <c r="D44" s="37">
        <v>21</v>
      </c>
      <c r="E44" s="37">
        <v>17</v>
      </c>
      <c r="F44" s="37">
        <v>17</v>
      </c>
      <c r="G44" t="s">
        <v>168</v>
      </c>
      <c r="H44" t="s">
        <v>59</v>
      </c>
    </row>
    <row r="45" spans="1:8" x14ac:dyDescent="0.25">
      <c r="A45" t="s">
        <v>221</v>
      </c>
      <c r="B45" t="s">
        <v>14</v>
      </c>
      <c r="C45" t="s">
        <v>102</v>
      </c>
      <c r="D45" s="5">
        <v>42.86</v>
      </c>
      <c r="E45" s="5">
        <v>50</v>
      </c>
      <c r="F45" s="5">
        <v>50</v>
      </c>
      <c r="G45" t="s">
        <v>59</v>
      </c>
      <c r="H45" t="s">
        <v>222</v>
      </c>
    </row>
    <row r="46" spans="1:8" x14ac:dyDescent="0.25">
      <c r="A46" t="s">
        <v>223</v>
      </c>
      <c r="B46" t="s">
        <v>14</v>
      </c>
      <c r="C46" t="s">
        <v>102</v>
      </c>
      <c r="D46" s="5">
        <v>0</v>
      </c>
      <c r="E46" s="5">
        <v>0</v>
      </c>
      <c r="F46" s="5">
        <v>0</v>
      </c>
      <c r="G46" t="s">
        <v>59</v>
      </c>
      <c r="H46" t="s">
        <v>224</v>
      </c>
    </row>
    <row r="47" spans="1:8" x14ac:dyDescent="0.25">
      <c r="A47" t="s">
        <v>225</v>
      </c>
      <c r="B47" t="s">
        <v>14</v>
      </c>
      <c r="C47" t="s">
        <v>102</v>
      </c>
      <c r="D47" s="5">
        <v>85.71</v>
      </c>
      <c r="E47" s="5">
        <v>83.33</v>
      </c>
      <c r="F47" s="5">
        <v>75</v>
      </c>
      <c r="G47" t="s">
        <v>59</v>
      </c>
      <c r="H47" t="s">
        <v>226</v>
      </c>
    </row>
    <row r="48" spans="1:8" x14ac:dyDescent="0.25">
      <c r="A48" t="s">
        <v>188</v>
      </c>
      <c r="B48" t="s">
        <v>59</v>
      </c>
      <c r="C48" t="s">
        <v>176</v>
      </c>
      <c r="D48" s="37">
        <v>0</v>
      </c>
      <c r="E48" s="37">
        <v>0</v>
      </c>
      <c r="F48" s="37">
        <v>0</v>
      </c>
      <c r="G48" t="s">
        <v>186</v>
      </c>
      <c r="H48" t="s">
        <v>189</v>
      </c>
    </row>
    <row r="49" spans="1:8" x14ac:dyDescent="0.25">
      <c r="A49" t="s">
        <v>190</v>
      </c>
      <c r="B49" t="s">
        <v>59</v>
      </c>
      <c r="C49" t="s">
        <v>176</v>
      </c>
      <c r="D49" s="37">
        <v>0</v>
      </c>
      <c r="E49" s="37">
        <v>0</v>
      </c>
      <c r="F49" s="37">
        <v>0</v>
      </c>
      <c r="G49" t="s">
        <v>191</v>
      </c>
      <c r="H49" t="s">
        <v>192</v>
      </c>
    </row>
    <row r="50" spans="1:8" x14ac:dyDescent="0.25">
      <c r="A50" t="s">
        <v>193</v>
      </c>
      <c r="B50" t="s">
        <v>59</v>
      </c>
      <c r="C50" t="s">
        <v>176</v>
      </c>
      <c r="D50" s="37">
        <v>0</v>
      </c>
      <c r="E50" s="37">
        <v>0</v>
      </c>
      <c r="F50" s="37">
        <v>0</v>
      </c>
      <c r="G50" t="s">
        <v>191</v>
      </c>
      <c r="H50" t="s">
        <v>194</v>
      </c>
    </row>
    <row r="51" spans="1:8" x14ac:dyDescent="0.25">
      <c r="A51" t="s">
        <v>195</v>
      </c>
      <c r="B51" t="s">
        <v>196</v>
      </c>
      <c r="C51" t="s">
        <v>176</v>
      </c>
      <c r="D51" s="37">
        <v>0</v>
      </c>
      <c r="E51" s="37">
        <v>0</v>
      </c>
      <c r="F51" s="37">
        <v>0</v>
      </c>
      <c r="G51" t="s">
        <v>39</v>
      </c>
      <c r="H51" t="s">
        <v>197</v>
      </c>
    </row>
    <row r="52" spans="1:8" x14ac:dyDescent="0.25">
      <c r="A52" t="s">
        <v>198</v>
      </c>
      <c r="B52" t="s">
        <v>196</v>
      </c>
      <c r="C52" t="s">
        <v>176</v>
      </c>
      <c r="D52" s="37">
        <v>0</v>
      </c>
      <c r="E52" s="37">
        <v>0</v>
      </c>
      <c r="F52" s="37">
        <v>0</v>
      </c>
      <c r="G52" t="s">
        <v>22</v>
      </c>
      <c r="H52" t="s">
        <v>199</v>
      </c>
    </row>
    <row r="53" spans="1:8" x14ac:dyDescent="0.25">
      <c r="A53" t="s">
        <v>200</v>
      </c>
      <c r="B53" t="s">
        <v>201</v>
      </c>
      <c r="C53" t="s">
        <v>176</v>
      </c>
      <c r="D53" s="37">
        <v>0</v>
      </c>
      <c r="E53" s="37">
        <v>0</v>
      </c>
      <c r="F53" s="37">
        <v>0</v>
      </c>
      <c r="G53" t="s">
        <v>202</v>
      </c>
      <c r="H53" t="s">
        <v>59</v>
      </c>
    </row>
    <row r="54" spans="1:8" x14ac:dyDescent="0.25">
      <c r="A54" t="s">
        <v>203</v>
      </c>
      <c r="B54" t="s">
        <v>204</v>
      </c>
      <c r="C54" t="s">
        <v>176</v>
      </c>
      <c r="D54" s="37">
        <v>0</v>
      </c>
      <c r="E54" s="37">
        <v>0</v>
      </c>
      <c r="F54" s="37">
        <v>0</v>
      </c>
      <c r="G54" t="s">
        <v>205</v>
      </c>
      <c r="H54" t="s">
        <v>59</v>
      </c>
    </row>
    <row r="55" spans="1:8" x14ac:dyDescent="0.25">
      <c r="A55" t="s">
        <v>206</v>
      </c>
      <c r="B55" t="s">
        <v>207</v>
      </c>
      <c r="C55" t="s">
        <v>176</v>
      </c>
      <c r="D55" s="37">
        <v>0</v>
      </c>
      <c r="E55" s="37">
        <v>0</v>
      </c>
      <c r="F55" s="37">
        <v>0</v>
      </c>
      <c r="G55" t="s">
        <v>205</v>
      </c>
      <c r="H55" t="s">
        <v>59</v>
      </c>
    </row>
    <row r="56" spans="1:8" x14ac:dyDescent="0.25">
      <c r="A56" t="s">
        <v>208</v>
      </c>
      <c r="B56" t="s">
        <v>14</v>
      </c>
      <c r="C56" t="s">
        <v>176</v>
      </c>
      <c r="D56" s="37">
        <v>0</v>
      </c>
      <c r="E56" s="37">
        <v>0</v>
      </c>
      <c r="F56" s="37">
        <v>0</v>
      </c>
      <c r="G56" t="s">
        <v>59</v>
      </c>
      <c r="H56" t="s">
        <v>209</v>
      </c>
    </row>
    <row r="57" spans="1:8" x14ac:dyDescent="0.25">
      <c r="A57" t="s">
        <v>210</v>
      </c>
      <c r="B57" t="s">
        <v>14</v>
      </c>
      <c r="C57" t="s">
        <v>176</v>
      </c>
      <c r="D57" s="37">
        <v>0</v>
      </c>
      <c r="E57" s="37">
        <v>0</v>
      </c>
      <c r="F57" s="37">
        <v>0</v>
      </c>
      <c r="G57" t="s">
        <v>59</v>
      </c>
      <c r="H57" t="s">
        <v>211</v>
      </c>
    </row>
    <row r="58" spans="1:8" x14ac:dyDescent="0.25">
      <c r="A58" t="s">
        <v>212</v>
      </c>
      <c r="B58" t="s">
        <v>14</v>
      </c>
      <c r="C58" t="s">
        <v>15</v>
      </c>
      <c r="D58" s="9">
        <v>3.5278154681139799</v>
      </c>
      <c r="E58" s="9">
        <v>4.0372670807453401</v>
      </c>
      <c r="F58" s="9">
        <v>4.6692607003891098</v>
      </c>
      <c r="G58" t="s">
        <v>59</v>
      </c>
      <c r="H58" t="s">
        <v>213</v>
      </c>
    </row>
    <row r="59" spans="1:8" x14ac:dyDescent="0.25">
      <c r="A59" t="s">
        <v>214</v>
      </c>
      <c r="B59" t="s">
        <v>14</v>
      </c>
      <c r="C59" t="s">
        <v>15</v>
      </c>
      <c r="D59" s="49">
        <v>0.135685210312076</v>
      </c>
      <c r="E59" s="49">
        <v>0.46583850931677001</v>
      </c>
      <c r="F59" s="49">
        <v>0</v>
      </c>
      <c r="G59" t="s">
        <v>59</v>
      </c>
      <c r="H59" t="s">
        <v>215</v>
      </c>
    </row>
    <row r="60" spans="1:8" x14ac:dyDescent="0.25">
      <c r="A60" t="s">
        <v>227</v>
      </c>
      <c r="B60" t="s">
        <v>207</v>
      </c>
      <c r="C60" t="s">
        <v>176</v>
      </c>
      <c r="D60" s="37">
        <v>0</v>
      </c>
      <c r="E60" s="37">
        <v>0</v>
      </c>
      <c r="F60" s="37">
        <v>0</v>
      </c>
      <c r="G60" t="s">
        <v>228</v>
      </c>
      <c r="H60" t="s">
        <v>59</v>
      </c>
    </row>
    <row r="61" spans="1:8" x14ac:dyDescent="0.25">
      <c r="A61" t="s">
        <v>229</v>
      </c>
      <c r="B61" t="s">
        <v>207</v>
      </c>
      <c r="C61" t="s">
        <v>176</v>
      </c>
      <c r="D61" s="37">
        <v>0</v>
      </c>
      <c r="E61" s="37">
        <v>0</v>
      </c>
      <c r="F61" s="37">
        <v>0</v>
      </c>
      <c r="G61" t="s">
        <v>228</v>
      </c>
      <c r="H61" t="s">
        <v>59</v>
      </c>
    </row>
    <row r="62" spans="1:8" x14ac:dyDescent="0.25">
      <c r="A62" t="s">
        <v>230</v>
      </c>
      <c r="B62" t="s">
        <v>207</v>
      </c>
      <c r="C62" t="s">
        <v>176</v>
      </c>
      <c r="D62" s="37">
        <v>0</v>
      </c>
      <c r="E62" s="37">
        <v>0</v>
      </c>
      <c r="F62" s="37">
        <v>0</v>
      </c>
      <c r="G62" t="s">
        <v>228</v>
      </c>
      <c r="H62" t="s">
        <v>59</v>
      </c>
    </row>
    <row r="63" spans="1:8" x14ac:dyDescent="0.25">
      <c r="A63" t="s">
        <v>231</v>
      </c>
      <c r="B63" t="s">
        <v>207</v>
      </c>
      <c r="C63" t="s">
        <v>176</v>
      </c>
      <c r="D63" s="37">
        <v>0</v>
      </c>
      <c r="E63" s="37">
        <v>0</v>
      </c>
      <c r="F63" s="37">
        <v>0</v>
      </c>
      <c r="G63" t="s">
        <v>228</v>
      </c>
      <c r="H63" t="s">
        <v>59</v>
      </c>
    </row>
    <row r="64" spans="1:8" x14ac:dyDescent="0.25">
      <c r="A64" t="s">
        <v>232</v>
      </c>
      <c r="B64" t="s">
        <v>207</v>
      </c>
      <c r="C64" t="s">
        <v>176</v>
      </c>
      <c r="D64" s="37">
        <v>0</v>
      </c>
      <c r="E64" s="37">
        <v>0</v>
      </c>
      <c r="F64" s="37">
        <v>0</v>
      </c>
      <c r="G64" t="s">
        <v>228</v>
      </c>
      <c r="H64" t="s">
        <v>59</v>
      </c>
    </row>
    <row r="65" spans="1:8" x14ac:dyDescent="0.25">
      <c r="A65" t="s">
        <v>233</v>
      </c>
      <c r="B65" t="s">
        <v>207</v>
      </c>
      <c r="C65" t="s">
        <v>176</v>
      </c>
      <c r="D65" s="37">
        <v>0</v>
      </c>
      <c r="E65" s="37">
        <v>0</v>
      </c>
      <c r="F65" s="37">
        <v>0</v>
      </c>
      <c r="G65" t="s">
        <v>228</v>
      </c>
      <c r="H65" t="s">
        <v>59</v>
      </c>
    </row>
    <row r="66" spans="1:8" x14ac:dyDescent="0.25">
      <c r="A66" t="s">
        <v>234</v>
      </c>
      <c r="B66" t="s">
        <v>207</v>
      </c>
      <c r="C66" t="s">
        <v>176</v>
      </c>
      <c r="D66" s="37">
        <v>0</v>
      </c>
      <c r="E66" s="37">
        <v>0</v>
      </c>
      <c r="F66" s="37">
        <v>0</v>
      </c>
      <c r="G66" t="s">
        <v>228</v>
      </c>
      <c r="H66" t="s">
        <v>59</v>
      </c>
    </row>
    <row r="67" spans="1:8" x14ac:dyDescent="0.25">
      <c r="A67" t="s">
        <v>235</v>
      </c>
      <c r="B67" t="s">
        <v>207</v>
      </c>
      <c r="C67" t="s">
        <v>176</v>
      </c>
      <c r="D67" s="37">
        <v>0</v>
      </c>
      <c r="E67" s="37">
        <v>0</v>
      </c>
      <c r="F67" s="37">
        <v>0</v>
      </c>
      <c r="G67" t="s">
        <v>228</v>
      </c>
      <c r="H67" t="s">
        <v>59</v>
      </c>
    </row>
    <row r="68" spans="1:8" x14ac:dyDescent="0.25">
      <c r="A68" t="s">
        <v>236</v>
      </c>
      <c r="B68" t="s">
        <v>207</v>
      </c>
      <c r="C68" t="s">
        <v>176</v>
      </c>
      <c r="D68" s="37">
        <v>0</v>
      </c>
      <c r="E68" s="37">
        <v>0</v>
      </c>
      <c r="F68" s="37">
        <v>0</v>
      </c>
      <c r="G68" t="s">
        <v>228</v>
      </c>
      <c r="H68" t="s">
        <v>59</v>
      </c>
    </row>
    <row r="69" spans="1:8" x14ac:dyDescent="0.25">
      <c r="A69" t="s">
        <v>237</v>
      </c>
      <c r="B69" t="s">
        <v>207</v>
      </c>
      <c r="C69" t="s">
        <v>176</v>
      </c>
      <c r="D69" s="37">
        <v>0</v>
      </c>
      <c r="E69" s="37">
        <v>0</v>
      </c>
      <c r="F69" s="37">
        <v>0</v>
      </c>
      <c r="G69" t="s">
        <v>228</v>
      </c>
      <c r="H69" t="s">
        <v>59</v>
      </c>
    </row>
    <row r="70" spans="1:8" x14ac:dyDescent="0.25">
      <c r="A70" t="s">
        <v>238</v>
      </c>
      <c r="B70" t="s">
        <v>207</v>
      </c>
      <c r="C70" t="s">
        <v>176</v>
      </c>
      <c r="D70" s="37">
        <v>0</v>
      </c>
      <c r="E70" s="37">
        <v>0</v>
      </c>
      <c r="F70" s="37">
        <v>0</v>
      </c>
      <c r="G70" t="s">
        <v>228</v>
      </c>
      <c r="H70" t="s">
        <v>59</v>
      </c>
    </row>
    <row r="71" spans="1:8" x14ac:dyDescent="0.25">
      <c r="A71" t="s">
        <v>239</v>
      </c>
      <c r="B71" t="s">
        <v>207</v>
      </c>
      <c r="C71" t="s">
        <v>176</v>
      </c>
      <c r="D71" s="37">
        <v>0</v>
      </c>
      <c r="E71" s="37">
        <v>0</v>
      </c>
      <c r="F71" s="37">
        <v>0</v>
      </c>
      <c r="G71" t="s">
        <v>228</v>
      </c>
      <c r="H71" t="s">
        <v>59</v>
      </c>
    </row>
    <row r="72" spans="1:8" x14ac:dyDescent="0.25">
      <c r="A72" t="s">
        <v>240</v>
      </c>
      <c r="B72" t="s">
        <v>59</v>
      </c>
      <c r="C72" t="s">
        <v>90</v>
      </c>
      <c r="D72" s="10" t="str">
        <f>[1]心脏外科!$O$4</f>
        <v>主动脉瘤和主动脉夹层</v>
      </c>
      <c r="E72" s="10" t="str">
        <f>[1]心脏外科!$I$4</f>
        <v>主动脉瘤和主动脉夹层</v>
      </c>
      <c r="F72" s="10" t="str">
        <f>[1]心脏外科!$C$4</f>
        <v>主动脉瘤和主动脉夹层</v>
      </c>
      <c r="G72" t="s">
        <v>59</v>
      </c>
      <c r="H72" t="s">
        <v>59</v>
      </c>
    </row>
    <row r="73" spans="1:8" x14ac:dyDescent="0.25">
      <c r="A73" t="s">
        <v>241</v>
      </c>
      <c r="B73" t="s">
        <v>59</v>
      </c>
      <c r="C73" t="s">
        <v>90</v>
      </c>
      <c r="D73" s="10" t="str">
        <f>[1]心脏外科!$N$4</f>
        <v>I71</v>
      </c>
      <c r="E73" s="10" t="str">
        <f>[1]心脏外科!$H$4</f>
        <v>I71.</v>
      </c>
      <c r="F73" s="10" t="str">
        <f>[1]心脏外科!$B$4</f>
        <v>I71</v>
      </c>
      <c r="G73" t="s">
        <v>59</v>
      </c>
      <c r="H73" t="s">
        <v>59</v>
      </c>
    </row>
    <row r="74" spans="1:8" x14ac:dyDescent="0.25">
      <c r="A74" t="s">
        <v>242</v>
      </c>
      <c r="B74" t="s">
        <v>14</v>
      </c>
      <c r="C74" t="s">
        <v>90</v>
      </c>
      <c r="D74" s="10">
        <f>[1]心脏外科!$Q$4</f>
        <v>25.101763907734099</v>
      </c>
      <c r="E74" s="10">
        <f>[1]心脏外科!$K$4</f>
        <v>33.8509316770186</v>
      </c>
      <c r="F74" s="10">
        <f>[1]心脏外科!$E$4</f>
        <v>29.442282749675702</v>
      </c>
      <c r="G74" t="s">
        <v>59</v>
      </c>
      <c r="H74" t="s">
        <v>59</v>
      </c>
    </row>
    <row r="75" spans="1:8" x14ac:dyDescent="0.25">
      <c r="A75" t="s">
        <v>243</v>
      </c>
      <c r="B75" t="s">
        <v>59</v>
      </c>
      <c r="C75" t="s">
        <v>90</v>
      </c>
      <c r="D75" s="10" t="str">
        <f>[1]心脏外科!$O$5</f>
        <v>循环系统的操作后疾患，不可归类在他处者</v>
      </c>
      <c r="E75" s="10" t="str">
        <f>[1]心脏外科!$I$5</f>
        <v>心脏外科手术后的其他功能性障碍</v>
      </c>
      <c r="F75" s="10" t="str">
        <f>[1]心脏外科!$C$5</f>
        <v>心脏外科手术后的其他功能性障碍</v>
      </c>
      <c r="G75" t="s">
        <v>59</v>
      </c>
      <c r="H75" t="s">
        <v>59</v>
      </c>
    </row>
    <row r="76" spans="1:8" x14ac:dyDescent="0.25">
      <c r="A76" t="s">
        <v>244</v>
      </c>
      <c r="B76" t="s">
        <v>59</v>
      </c>
      <c r="C76" t="s">
        <v>90</v>
      </c>
      <c r="D76" s="10" t="str">
        <f>[1]心脏外科!$N$5</f>
        <v>I97</v>
      </c>
      <c r="E76" s="10" t="str">
        <f>[1]心脏外科!$H$5</f>
        <v>I97.1</v>
      </c>
      <c r="F76" s="10" t="str">
        <f>[1]心脏外科!$B$5</f>
        <v>I97.1</v>
      </c>
      <c r="G76" t="s">
        <v>59</v>
      </c>
      <c r="H76" t="s">
        <v>59</v>
      </c>
    </row>
    <row r="77" spans="1:8" x14ac:dyDescent="0.25">
      <c r="A77" t="s">
        <v>245</v>
      </c>
      <c r="B77" t="s">
        <v>14</v>
      </c>
      <c r="C77" t="s">
        <v>90</v>
      </c>
      <c r="D77" s="10">
        <f>[1]心脏外科!$Q$5</f>
        <v>12.7544097693351</v>
      </c>
      <c r="E77" s="10">
        <f>[1]心脏外科!$K$5</f>
        <v>16.4596273291925</v>
      </c>
      <c r="F77" s="10">
        <f>[1]心脏外科!$E$5</f>
        <v>26.7185473411154</v>
      </c>
      <c r="G77" t="s">
        <v>59</v>
      </c>
      <c r="H77" t="s">
        <v>59</v>
      </c>
    </row>
    <row r="78" spans="1:8" x14ac:dyDescent="0.25">
      <c r="A78" t="s">
        <v>246</v>
      </c>
      <c r="B78" t="s">
        <v>59</v>
      </c>
      <c r="C78" t="s">
        <v>90</v>
      </c>
      <c r="D78" s="10" t="str">
        <f>[1]心脏外科!$O$6</f>
        <v>风湿性联合瓣膜病</v>
      </c>
      <c r="E78" s="10" t="str">
        <f>[1]心脏外科!$I$6</f>
        <v>风湿性联合瓣膜病</v>
      </c>
      <c r="F78" s="10" t="str">
        <f>[1]心脏外科!$C$6</f>
        <v>风湿性联合瓣膜病</v>
      </c>
      <c r="G78" t="s">
        <v>59</v>
      </c>
      <c r="H78" t="s">
        <v>59</v>
      </c>
    </row>
    <row r="79" spans="1:8" x14ac:dyDescent="0.25">
      <c r="A79" t="s">
        <v>247</v>
      </c>
      <c r="B79" t="s">
        <v>59</v>
      </c>
      <c r="C79" t="s">
        <v>90</v>
      </c>
      <c r="D79" s="10" t="str">
        <f>[1]心脏外科!$N$6</f>
        <v>I08</v>
      </c>
      <c r="E79" s="10" t="str">
        <f>[1]心脏外科!$H$6</f>
        <v>I08</v>
      </c>
      <c r="F79" s="10" t="str">
        <f>[1]心脏外科!$B$6</f>
        <v>I08</v>
      </c>
      <c r="G79" t="s">
        <v>59</v>
      </c>
      <c r="H79" t="s">
        <v>59</v>
      </c>
    </row>
    <row r="80" spans="1:8" x14ac:dyDescent="0.25">
      <c r="A80" t="s">
        <v>248</v>
      </c>
      <c r="B80" t="s">
        <v>14</v>
      </c>
      <c r="C80" t="s">
        <v>90</v>
      </c>
      <c r="D80" s="10">
        <f>[1]心脏外科!$Q$6</f>
        <v>10.8548168249661</v>
      </c>
      <c r="E80" s="10">
        <f>[1]心脏外科!$K$6</f>
        <v>10.403726708074499</v>
      </c>
      <c r="F80" s="10">
        <f>[1]心脏外科!$E$6</f>
        <v>8.6900129701686097</v>
      </c>
      <c r="G80" t="s">
        <v>59</v>
      </c>
      <c r="H80" t="s">
        <v>59</v>
      </c>
    </row>
    <row r="81" spans="1:8" x14ac:dyDescent="0.25">
      <c r="A81" t="s">
        <v>249</v>
      </c>
      <c r="B81" t="s">
        <v>59</v>
      </c>
      <c r="C81" t="s">
        <v>90</v>
      </c>
      <c r="D81" s="10" t="str">
        <f>[1]心脏外科!$O$7</f>
        <v>瓣膜的心内膜炎</v>
      </c>
      <c r="E81" s="10" t="str">
        <f>[1]心脏外科!$I$7</f>
        <v>瓣膜的心内膜炎</v>
      </c>
      <c r="F81" s="10" t="str">
        <f>[1]心脏外科!$C$7</f>
        <v>房、室间隔缺损</v>
      </c>
      <c r="G81" t="s">
        <v>59</v>
      </c>
      <c r="H81" t="s">
        <v>59</v>
      </c>
    </row>
    <row r="82" spans="1:8" x14ac:dyDescent="0.25">
      <c r="A82" t="s">
        <v>250</v>
      </c>
      <c r="B82" t="s">
        <v>59</v>
      </c>
      <c r="C82" t="s">
        <v>90</v>
      </c>
      <c r="D82" s="10" t="str">
        <f>[1]心脏外科!$N$7</f>
        <v>I38.x</v>
      </c>
      <c r="E82" s="10" t="str">
        <f>[1]心脏外科!$H$7</f>
        <v>I38.x</v>
      </c>
      <c r="F82" s="10" t="str">
        <f>[1]心脏外科!$B$7</f>
        <v>Q21</v>
      </c>
      <c r="G82" t="s">
        <v>59</v>
      </c>
      <c r="H82" t="s">
        <v>59</v>
      </c>
    </row>
    <row r="83" spans="1:8" x14ac:dyDescent="0.25">
      <c r="A83" t="s">
        <v>251</v>
      </c>
      <c r="B83" t="s">
        <v>14</v>
      </c>
      <c r="C83" t="s">
        <v>90</v>
      </c>
      <c r="D83" s="10">
        <f>[1]心脏外科!$Q$7</f>
        <v>9.0909090909090899</v>
      </c>
      <c r="E83" s="10">
        <f>[1]心脏外科!$K$7</f>
        <v>5.4347826086956497</v>
      </c>
      <c r="F83" s="10">
        <f>[1]心脏外科!$E$7</f>
        <v>5.7068741893644601</v>
      </c>
      <c r="G83" t="s">
        <v>59</v>
      </c>
      <c r="H83" t="s">
        <v>59</v>
      </c>
    </row>
    <row r="84" spans="1:8" x14ac:dyDescent="0.25">
      <c r="A84" t="s">
        <v>252</v>
      </c>
      <c r="B84" t="s">
        <v>59</v>
      </c>
      <c r="C84" t="s">
        <v>90</v>
      </c>
      <c r="D84" s="10" t="str">
        <f>[1]心脏外科!$O$8</f>
        <v>冠状动脉硬化性心脏病</v>
      </c>
      <c r="E84" s="10" t="str">
        <f>[1]心脏外科!$I$8</f>
        <v>房、室间隔缺损</v>
      </c>
      <c r="F84" s="10" t="str">
        <f>[1]心脏外科!$C$8</f>
        <v>冠状动脉硬化性心脏病</v>
      </c>
      <c r="G84" t="s">
        <v>59</v>
      </c>
      <c r="H84" t="s">
        <v>59</v>
      </c>
    </row>
    <row r="85" spans="1:8" x14ac:dyDescent="0.25">
      <c r="A85" t="s">
        <v>253</v>
      </c>
      <c r="B85" t="s">
        <v>59</v>
      </c>
      <c r="C85" t="s">
        <v>90</v>
      </c>
      <c r="D85" s="10" t="str">
        <f>[1]心脏外科!$N$8</f>
        <v>I25</v>
      </c>
      <c r="E85" s="10" t="str">
        <f>[1]心脏外科!$H$8</f>
        <v>Q21</v>
      </c>
      <c r="F85" s="10" t="str">
        <f>[1]心脏外科!$B$8</f>
        <v>I25.1</v>
      </c>
      <c r="G85" t="s">
        <v>59</v>
      </c>
      <c r="H85" t="s">
        <v>59</v>
      </c>
    </row>
    <row r="86" spans="1:8" x14ac:dyDescent="0.25">
      <c r="A86" t="s">
        <v>254</v>
      </c>
      <c r="B86" t="s">
        <v>14</v>
      </c>
      <c r="C86" t="s">
        <v>90</v>
      </c>
      <c r="D86" s="10">
        <f>[1]心脏外科!$Q$8</f>
        <v>7.7340569877883301</v>
      </c>
      <c r="E86" s="10">
        <f>[1]心脏外科!$K$8</f>
        <v>4.0372670807453401</v>
      </c>
      <c r="F86" s="10">
        <f>[1]心脏外科!$E$8</f>
        <v>4.2801556420233497</v>
      </c>
      <c r="G86" t="s">
        <v>59</v>
      </c>
      <c r="H86" t="s">
        <v>59</v>
      </c>
    </row>
    <row r="87" spans="1:8" x14ac:dyDescent="0.25">
      <c r="A87" t="s">
        <v>255</v>
      </c>
      <c r="B87" t="s">
        <v>59</v>
      </c>
      <c r="C87" t="s">
        <v>90</v>
      </c>
      <c r="D87" s="22" t="str">
        <f>[2]心脏外科!$O$4</f>
        <v>二尖瓣机械瓣膜置换术</v>
      </c>
      <c r="E87" s="22" t="str">
        <f>[2]心脏外科!$I$4</f>
        <v>胸主动脉移植物的血管腔内植入术</v>
      </c>
      <c r="F87" s="22" t="str">
        <f>[2]心脏外科!$C$4</f>
        <v>胸主动脉移植物的血管腔内植入术</v>
      </c>
      <c r="G87" t="s">
        <v>59</v>
      </c>
      <c r="H87" t="s">
        <v>59</v>
      </c>
    </row>
    <row r="88" spans="1:8" x14ac:dyDescent="0.25">
      <c r="A88" t="s">
        <v>256</v>
      </c>
      <c r="B88" t="s">
        <v>59</v>
      </c>
      <c r="C88" t="s">
        <v>90</v>
      </c>
      <c r="D88" s="23">
        <f>[2]心脏外科!$N$4</f>
        <v>35.24</v>
      </c>
      <c r="E88" s="23">
        <f>[2]心脏外科!$H$4</f>
        <v>39.729999999999997</v>
      </c>
      <c r="F88" s="23" t="str">
        <f>[2]心脏外科!$B$4</f>
        <v>39.73</v>
      </c>
      <c r="G88" t="s">
        <v>59</v>
      </c>
      <c r="H88" t="s">
        <v>59</v>
      </c>
    </row>
    <row r="89" spans="1:8" x14ac:dyDescent="0.25">
      <c r="A89" t="s">
        <v>257</v>
      </c>
      <c r="B89" t="s">
        <v>14</v>
      </c>
      <c r="C89" t="s">
        <v>90</v>
      </c>
      <c r="D89" s="24">
        <f>[2]心脏外科!$Q$4</f>
        <v>25.5014326647564</v>
      </c>
      <c r="E89" s="24">
        <f>[2]心脏外科!$K$4</f>
        <v>22.7436823104693</v>
      </c>
      <c r="F89" s="24">
        <f>[2]心脏外科!$E$4</f>
        <v>20.703125</v>
      </c>
      <c r="G89" t="s">
        <v>59</v>
      </c>
      <c r="H89" t="s">
        <v>59</v>
      </c>
    </row>
    <row r="90" spans="1:8" x14ac:dyDescent="0.25">
      <c r="A90" t="s">
        <v>258</v>
      </c>
      <c r="B90" t="s">
        <v>59</v>
      </c>
      <c r="C90" t="s">
        <v>90</v>
      </c>
      <c r="D90" s="25" t="str">
        <f>[2]心脏外科!$O$5</f>
        <v>胸主动脉覆膜支架腔内隔绝术</v>
      </c>
      <c r="E90" s="25" t="str">
        <f>[2]心脏外科!$I$5</f>
        <v>二尖瓣机械瓣膜置换术</v>
      </c>
      <c r="F90" s="25" t="str">
        <f>[2]心脏外科!$C$5</f>
        <v>二尖瓣机械瓣膜置换术</v>
      </c>
      <c r="G90" t="s">
        <v>59</v>
      </c>
      <c r="H90" t="s">
        <v>59</v>
      </c>
    </row>
    <row r="91" spans="1:8" x14ac:dyDescent="0.25">
      <c r="A91" t="s">
        <v>259</v>
      </c>
      <c r="B91" t="s">
        <v>59</v>
      </c>
      <c r="C91" t="s">
        <v>90</v>
      </c>
      <c r="D91" s="26">
        <f>[2]心脏外科!$N$5</f>
        <v>39.729999999999997</v>
      </c>
      <c r="E91" s="26">
        <f>[2]心脏外科!$H$5</f>
        <v>35.24</v>
      </c>
      <c r="F91" s="26" t="str">
        <f>[2]心脏外科!$B$5</f>
        <v>35.24</v>
      </c>
      <c r="G91" t="s">
        <v>59</v>
      </c>
      <c r="H91" t="s">
        <v>59</v>
      </c>
    </row>
    <row r="92" spans="1:8" x14ac:dyDescent="0.25">
      <c r="A92" t="s">
        <v>260</v>
      </c>
      <c r="B92" t="s">
        <v>14</v>
      </c>
      <c r="C92" t="s">
        <v>90</v>
      </c>
      <c r="D92" s="24">
        <f>[2]心脏外科!$Q$5</f>
        <v>18.3381088825215</v>
      </c>
      <c r="E92" s="24">
        <f>[2]心脏外科!$K$5</f>
        <v>15.162454873646199</v>
      </c>
      <c r="F92" s="24">
        <f>[2]心脏外科!$E$5</f>
        <v>14.453125</v>
      </c>
      <c r="G92" t="s">
        <v>59</v>
      </c>
      <c r="H92" t="s">
        <v>59</v>
      </c>
    </row>
    <row r="93" spans="1:8" x14ac:dyDescent="0.25">
      <c r="A93" t="s">
        <v>261</v>
      </c>
      <c r="B93" t="s">
        <v>59</v>
      </c>
      <c r="C93" t="s">
        <v>90</v>
      </c>
      <c r="D93" s="27" t="str">
        <f>[2]心脏外科!$O$6</f>
        <v>腹主动脉覆膜支架腔内隔绝术</v>
      </c>
      <c r="E93" s="27" t="str">
        <f>[2]心脏外科!$I$6</f>
        <v>腹主动脉瘤腔内修补术</v>
      </c>
      <c r="F93" s="27" t="str">
        <f>[2]心脏外科!$C$6</f>
        <v>主动脉瓣机械瓣膜置换术</v>
      </c>
      <c r="G93" t="s">
        <v>59</v>
      </c>
      <c r="H93" t="s">
        <v>59</v>
      </c>
    </row>
    <row r="94" spans="1:8" x14ac:dyDescent="0.25">
      <c r="A94" t="s">
        <v>262</v>
      </c>
      <c r="B94" t="s">
        <v>59</v>
      </c>
      <c r="C94" t="s">
        <v>90</v>
      </c>
      <c r="D94" s="28">
        <f>[2]心脏外科!$N$6</f>
        <v>39.71</v>
      </c>
      <c r="E94" s="28">
        <f>[2]心脏外科!$H$6</f>
        <v>39.71</v>
      </c>
      <c r="F94" s="28" t="str">
        <f>[2]心脏外科!$B$6</f>
        <v>35.22</v>
      </c>
      <c r="G94" t="s">
        <v>59</v>
      </c>
      <c r="H94" t="s">
        <v>59</v>
      </c>
    </row>
    <row r="95" spans="1:8" x14ac:dyDescent="0.25">
      <c r="A95" t="s">
        <v>263</v>
      </c>
      <c r="B95" t="s">
        <v>14</v>
      </c>
      <c r="C95" t="s">
        <v>90</v>
      </c>
      <c r="D95" s="24">
        <f>[2]心脏外科!$Q$6</f>
        <v>9.7421203438395398</v>
      </c>
      <c r="E95" s="24">
        <f>[2]心脏外科!$K$6</f>
        <v>8.6642599277978292</v>
      </c>
      <c r="F95" s="24">
        <f>[2]心脏外科!$E$6</f>
        <v>7.8125</v>
      </c>
      <c r="G95" t="s">
        <v>59</v>
      </c>
      <c r="H95" t="s">
        <v>59</v>
      </c>
    </row>
    <row r="96" spans="1:8" x14ac:dyDescent="0.25">
      <c r="A96" t="s">
        <v>264</v>
      </c>
      <c r="B96" t="s">
        <v>59</v>
      </c>
      <c r="C96" t="s">
        <v>90</v>
      </c>
      <c r="D96" s="24" t="str">
        <f>[2]心脏外科!$O$7</f>
        <v>主动脉瓣机械瓣膜置换术</v>
      </c>
      <c r="E96" s="24" t="str">
        <f>[2]心脏外科!$I$7</f>
        <v>主动脉瓣机械瓣膜置换术</v>
      </c>
      <c r="F96" s="24" t="str">
        <f>[2]心脏外科!$C$7</f>
        <v>腹主动脉瘤腔内修补术</v>
      </c>
      <c r="G96" t="s">
        <v>59</v>
      </c>
      <c r="H96" t="s">
        <v>59</v>
      </c>
    </row>
    <row r="97" spans="1:8" x14ac:dyDescent="0.25">
      <c r="A97" t="s">
        <v>265</v>
      </c>
      <c r="B97" t="s">
        <v>59</v>
      </c>
      <c r="C97" t="s">
        <v>90</v>
      </c>
      <c r="D97" s="25">
        <f>[2]心脏外科!$N$7</f>
        <v>35.22</v>
      </c>
      <c r="E97" s="25">
        <f>[2]心脏外科!$H$7</f>
        <v>35.22</v>
      </c>
      <c r="F97" s="25" t="str">
        <f>[2]心脏外科!$B$7</f>
        <v>39.71</v>
      </c>
      <c r="G97" t="s">
        <v>59</v>
      </c>
      <c r="H97" t="s">
        <v>59</v>
      </c>
    </row>
    <row r="98" spans="1:8" x14ac:dyDescent="0.25">
      <c r="A98" t="s">
        <v>266</v>
      </c>
      <c r="B98" t="s">
        <v>14</v>
      </c>
      <c r="C98" t="s">
        <v>90</v>
      </c>
      <c r="D98" s="26">
        <f>[2]心脏外科!$Q$7</f>
        <v>5.7306590257879702</v>
      </c>
      <c r="E98" s="26">
        <f>[2]心脏外科!$K$7</f>
        <v>6.1371841155234703</v>
      </c>
      <c r="F98" s="26">
        <f>[2]心脏外科!$E$7</f>
        <v>6.640625</v>
      </c>
      <c r="G98" t="s">
        <v>59</v>
      </c>
      <c r="H98" t="s">
        <v>59</v>
      </c>
    </row>
    <row r="99" spans="1:8" x14ac:dyDescent="0.25">
      <c r="A99" t="s">
        <v>267</v>
      </c>
      <c r="B99" t="s">
        <v>59</v>
      </c>
      <c r="C99" t="s">
        <v>90</v>
      </c>
      <c r="D99" s="24" t="str">
        <f>[2]心脏外科!$O$8</f>
        <v>经胸房间隔缺损闭式封堵术</v>
      </c>
      <c r="E99" s="24" t="str">
        <f>[2]心脏外科!$I$8</f>
        <v>二尖瓣成形术，不伴置换，直视法</v>
      </c>
      <c r="F99" s="24" t="str">
        <f>[2]心脏外科!$C$8</f>
        <v>动脉血管腔内成形术</v>
      </c>
      <c r="G99" t="s">
        <v>59</v>
      </c>
      <c r="H99" t="s">
        <v>59</v>
      </c>
    </row>
    <row r="100" spans="1:8" x14ac:dyDescent="0.25">
      <c r="A100" t="s">
        <v>268</v>
      </c>
      <c r="B100" t="s">
        <v>59</v>
      </c>
      <c r="C100" t="s">
        <v>90</v>
      </c>
      <c r="D100" s="10">
        <f>[2]心脏外科!$N$8</f>
        <v>35.51</v>
      </c>
      <c r="E100" s="10">
        <f>[2]心脏外科!$H$8</f>
        <v>35.119999999999997</v>
      </c>
      <c r="F100" s="10" t="str">
        <f>[2]心脏外科!$B$8</f>
        <v>39.50</v>
      </c>
      <c r="G100" t="s">
        <v>59</v>
      </c>
      <c r="H100" t="s">
        <v>59</v>
      </c>
    </row>
    <row r="101" spans="1:8" x14ac:dyDescent="0.25">
      <c r="A101" t="s">
        <v>269</v>
      </c>
      <c r="B101" t="s">
        <v>14</v>
      </c>
      <c r="C101" t="s">
        <v>90</v>
      </c>
      <c r="D101" s="10">
        <f>[2]心脏外科!$Q$8</f>
        <v>4.8710601719197699</v>
      </c>
      <c r="E101" s="10">
        <f>[2]心脏外科!$K$8</f>
        <v>4.3321299638989199</v>
      </c>
      <c r="F101" s="10">
        <f>[2]心脏外科!$E$8</f>
        <v>5.078125</v>
      </c>
      <c r="G101" t="s">
        <v>59</v>
      </c>
      <c r="H101" t="s">
        <v>59</v>
      </c>
    </row>
  </sheetData>
  <phoneticPr fontId="10" type="noConversion"/>
  <conditionalFormatting sqref="D88">
    <cfRule type="duplicateValues" dxfId="263" priority="12"/>
  </conditionalFormatting>
  <conditionalFormatting sqref="E88">
    <cfRule type="duplicateValues" dxfId="262" priority="4"/>
  </conditionalFormatting>
  <conditionalFormatting sqref="F88">
    <cfRule type="duplicateValues" dxfId="261" priority="8"/>
  </conditionalFormatting>
  <conditionalFormatting sqref="D91">
    <cfRule type="duplicateValues" dxfId="260" priority="11"/>
  </conditionalFormatting>
  <conditionalFormatting sqref="E91">
    <cfRule type="duplicateValues" dxfId="259" priority="3"/>
  </conditionalFormatting>
  <conditionalFormatting sqref="F91">
    <cfRule type="duplicateValues" dxfId="258" priority="7"/>
  </conditionalFormatting>
  <conditionalFormatting sqref="D94">
    <cfRule type="duplicateValues" dxfId="257" priority="9"/>
  </conditionalFormatting>
  <conditionalFormatting sqref="E94">
    <cfRule type="duplicateValues" dxfId="256" priority="1"/>
  </conditionalFormatting>
  <conditionalFormatting sqref="F94">
    <cfRule type="duplicateValues" dxfId="255" priority="5"/>
  </conditionalFormatting>
  <conditionalFormatting sqref="D98">
    <cfRule type="duplicateValues" dxfId="254" priority="10"/>
  </conditionalFormatting>
  <conditionalFormatting sqref="E98">
    <cfRule type="duplicateValues" dxfId="253" priority="2"/>
  </conditionalFormatting>
  <conditionalFormatting sqref="F98">
    <cfRule type="duplicateValues" dxfId="252" priority="6"/>
  </conditionalFormatting>
  <pageMargins left="0.69930555555555596" right="0.69930555555555596" top="0.75" bottom="0.75" header="0.3" footer="0.3"/>
  <ignoredErrors>
    <ignoredError sqref="A2:B31 G21:H31 G2:H5 G6:H14 G15:H15 G16:H17 G18:H20 G34:H57 G58:H59 G61:H71 G72:H73 G74:H86 G87:H88 G89:H89 G90:H101 A34:B101 A1:H1 G60:H6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01"/>
  <sheetViews>
    <sheetView topLeftCell="A20" workbookViewId="0">
      <selection activeCell="D33" sqref="D33:F33"/>
    </sheetView>
  </sheetViews>
  <sheetFormatPr defaultColWidth="9" defaultRowHeight="15" x14ac:dyDescent="0.25"/>
  <cols>
    <col min="1" max="1" width="28" customWidth="1"/>
    <col min="2" max="2" width="11" customWidth="1"/>
    <col min="3" max="3" width="9" customWidth="1"/>
    <col min="4" max="4" width="13.58203125" customWidth="1"/>
    <col min="5" max="5" width="12.58203125" customWidth="1"/>
    <col min="6" max="6" width="12"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76.167845137359507</v>
      </c>
      <c r="E2" s="5">
        <v>65.829617460690002</v>
      </c>
      <c r="F2" s="5">
        <v>65.526631085938305</v>
      </c>
      <c r="G2" t="s">
        <v>16</v>
      </c>
      <c r="H2" t="s">
        <v>17</v>
      </c>
    </row>
    <row r="3" spans="1:8" x14ac:dyDescent="0.25">
      <c r="A3" t="s">
        <v>18</v>
      </c>
      <c r="B3" t="s">
        <v>14</v>
      </c>
      <c r="C3" t="s">
        <v>15</v>
      </c>
      <c r="D3" s="5">
        <v>10.3485009891949</v>
      </c>
      <c r="E3" s="5">
        <v>7.55793226381462</v>
      </c>
      <c r="F3" s="5">
        <v>7.5964095744680904</v>
      </c>
      <c r="G3" t="s">
        <v>19</v>
      </c>
      <c r="H3" t="s">
        <v>20</v>
      </c>
    </row>
    <row r="4" spans="1:8" x14ac:dyDescent="0.25">
      <c r="A4" t="s">
        <v>21</v>
      </c>
      <c r="B4" t="s">
        <v>14</v>
      </c>
      <c r="C4" t="s">
        <v>15</v>
      </c>
      <c r="D4" s="5">
        <v>33.389134073961301</v>
      </c>
      <c r="E4" s="5">
        <v>31.2477718360071</v>
      </c>
      <c r="F4" s="5">
        <v>31.100398936170201</v>
      </c>
      <c r="G4" t="s">
        <v>22</v>
      </c>
      <c r="H4" t="s">
        <v>23</v>
      </c>
    </row>
    <row r="5" spans="1:8" x14ac:dyDescent="0.25">
      <c r="A5" t="s">
        <v>24</v>
      </c>
      <c r="B5" t="s">
        <v>14</v>
      </c>
      <c r="C5" t="s">
        <v>15</v>
      </c>
      <c r="D5" s="5">
        <v>95.196666666666701</v>
      </c>
      <c r="E5" s="5">
        <v>85.523333333333298</v>
      </c>
      <c r="F5" s="5">
        <v>79.603333333333296</v>
      </c>
      <c r="G5" t="s">
        <v>25</v>
      </c>
      <c r="H5" t="s">
        <v>26</v>
      </c>
    </row>
    <row r="6" spans="1:8" x14ac:dyDescent="0.25">
      <c r="A6" t="s">
        <v>33</v>
      </c>
      <c r="B6" t="s">
        <v>14</v>
      </c>
      <c r="C6" t="s">
        <v>34</v>
      </c>
      <c r="D6" s="5">
        <v>0</v>
      </c>
      <c r="E6" s="5">
        <v>0</v>
      </c>
      <c r="F6" s="5">
        <v>0</v>
      </c>
      <c r="G6" t="s">
        <v>35</v>
      </c>
      <c r="H6" t="s">
        <v>36</v>
      </c>
    </row>
    <row r="7" spans="1:8" x14ac:dyDescent="0.25">
      <c r="A7" t="s">
        <v>37</v>
      </c>
      <c r="B7" t="s">
        <v>14</v>
      </c>
      <c r="C7" t="s">
        <v>34</v>
      </c>
      <c r="D7" s="5">
        <v>0.21</v>
      </c>
      <c r="E7" s="5">
        <v>0.27</v>
      </c>
      <c r="F7" s="5">
        <v>0.23</v>
      </c>
      <c r="G7" t="s">
        <v>39</v>
      </c>
      <c r="H7" t="s">
        <v>40</v>
      </c>
    </row>
    <row r="8" spans="1:8" x14ac:dyDescent="0.25">
      <c r="A8" t="s">
        <v>41</v>
      </c>
      <c r="B8" t="s">
        <v>14</v>
      </c>
      <c r="C8" t="s">
        <v>10</v>
      </c>
      <c r="D8" s="5"/>
      <c r="E8" s="5"/>
      <c r="F8" s="5"/>
      <c r="G8" t="s">
        <v>39</v>
      </c>
      <c r="H8" t="s">
        <v>44</v>
      </c>
    </row>
    <row r="9" spans="1:8" x14ac:dyDescent="0.25">
      <c r="A9" t="s">
        <v>51</v>
      </c>
      <c r="B9" t="s">
        <v>14</v>
      </c>
      <c r="C9" t="s">
        <v>34</v>
      </c>
      <c r="D9" s="5">
        <v>0</v>
      </c>
      <c r="E9" s="5">
        <v>0</v>
      </c>
      <c r="F9" s="5">
        <v>0</v>
      </c>
      <c r="G9" t="s">
        <v>19</v>
      </c>
      <c r="H9" t="s">
        <v>52</v>
      </c>
    </row>
    <row r="10" spans="1:8" x14ac:dyDescent="0.25">
      <c r="A10" t="s">
        <v>57</v>
      </c>
      <c r="B10" t="s">
        <v>14</v>
      </c>
      <c r="C10" t="s">
        <v>38</v>
      </c>
      <c r="D10" s="5">
        <v>1.03</v>
      </c>
      <c r="E10" s="5">
        <v>1.01</v>
      </c>
      <c r="F10" s="5">
        <v>0.8</v>
      </c>
      <c r="G10" t="s">
        <v>58</v>
      </c>
      <c r="H10" t="s">
        <v>59</v>
      </c>
    </row>
    <row r="11" spans="1:8" x14ac:dyDescent="0.25">
      <c r="A11" t="s">
        <v>63</v>
      </c>
      <c r="B11" t="s">
        <v>64</v>
      </c>
      <c r="C11" t="s">
        <v>61</v>
      </c>
      <c r="D11" s="5">
        <v>45.1866134888704</v>
      </c>
      <c r="E11" s="5">
        <v>48.461145845631698</v>
      </c>
      <c r="F11" s="5">
        <v>45.132843161527603</v>
      </c>
      <c r="G11" t="s">
        <v>35</v>
      </c>
      <c r="H11" t="s">
        <v>65</v>
      </c>
    </row>
    <row r="12" spans="1:8" x14ac:dyDescent="0.25">
      <c r="A12" t="s">
        <v>66</v>
      </c>
      <c r="B12" t="s">
        <v>14</v>
      </c>
      <c r="C12" t="s">
        <v>61</v>
      </c>
      <c r="D12" s="5">
        <v>79.2</v>
      </c>
      <c r="E12" s="5">
        <v>71.096666666666707</v>
      </c>
      <c r="F12" s="5">
        <v>67.34</v>
      </c>
      <c r="G12" t="s">
        <v>39</v>
      </c>
      <c r="H12" t="s">
        <v>67</v>
      </c>
    </row>
    <row r="13" spans="1:8" x14ac:dyDescent="0.25">
      <c r="A13" t="s">
        <v>68</v>
      </c>
      <c r="B13" t="s">
        <v>14</v>
      </c>
      <c r="C13" t="s">
        <v>61</v>
      </c>
      <c r="D13" s="5">
        <v>97.863333333333301</v>
      </c>
      <c r="E13" s="5">
        <v>96.55</v>
      </c>
      <c r="F13" s="5">
        <v>95.336666666666702</v>
      </c>
      <c r="G13" t="s">
        <v>39</v>
      </c>
      <c r="H13" t="s">
        <v>69</v>
      </c>
    </row>
    <row r="14" spans="1:8" x14ac:dyDescent="0.25">
      <c r="A14" t="s">
        <v>74</v>
      </c>
      <c r="B14" t="s">
        <v>14</v>
      </c>
      <c r="C14" t="s">
        <v>75</v>
      </c>
      <c r="D14" s="18">
        <f>(34041302.4+5049693)/(61030488+52314296+34657840)*100</f>
        <v>26.412366445611124</v>
      </c>
      <c r="E14" s="18">
        <f>40248949/(59638630+52373450+30035598)*100</f>
        <v>28.334816567716086</v>
      </c>
      <c r="F14" s="18">
        <f>(22522726+5321361+5301602)/(67539684+56858658+33233253)*100</f>
        <v>21.027313084029885</v>
      </c>
      <c r="G14" t="s">
        <v>35</v>
      </c>
      <c r="H14" t="s">
        <v>76</v>
      </c>
    </row>
    <row r="15" spans="1:8" x14ac:dyDescent="0.25">
      <c r="A15" t="s">
        <v>91</v>
      </c>
      <c r="B15" t="s">
        <v>92</v>
      </c>
      <c r="C15" t="s">
        <v>15</v>
      </c>
      <c r="D15" s="5">
        <v>9.5</v>
      </c>
      <c r="E15" s="5">
        <v>9.6433333333333309</v>
      </c>
      <c r="F15" s="5">
        <v>10.4866666666667</v>
      </c>
      <c r="G15" t="s">
        <v>93</v>
      </c>
      <c r="H15" t="s">
        <v>94</v>
      </c>
    </row>
    <row r="16" spans="1:8" x14ac:dyDescent="0.25">
      <c r="A16" t="s">
        <v>95</v>
      </c>
      <c r="B16" t="s">
        <v>59</v>
      </c>
      <c r="C16" t="s">
        <v>34</v>
      </c>
      <c r="D16" s="5"/>
      <c r="E16" s="5"/>
      <c r="F16" s="5"/>
      <c r="G16" t="s">
        <v>96</v>
      </c>
      <c r="H16" t="s">
        <v>59</v>
      </c>
    </row>
    <row r="17" spans="1:8" x14ac:dyDescent="0.25">
      <c r="A17" t="s">
        <v>97</v>
      </c>
      <c r="B17" t="s">
        <v>98</v>
      </c>
      <c r="C17" t="s">
        <v>34</v>
      </c>
      <c r="D17" s="5"/>
      <c r="E17" s="5"/>
      <c r="F17" s="5"/>
      <c r="G17" t="s">
        <v>99</v>
      </c>
      <c r="H17" t="s">
        <v>59</v>
      </c>
    </row>
    <row r="18" spans="1:8" x14ac:dyDescent="0.25">
      <c r="A18" t="s">
        <v>104</v>
      </c>
      <c r="B18" t="s">
        <v>105</v>
      </c>
      <c r="C18" t="s">
        <v>15</v>
      </c>
      <c r="D18" s="37">
        <v>214</v>
      </c>
      <c r="E18" s="37">
        <v>214</v>
      </c>
      <c r="F18" s="37">
        <v>214</v>
      </c>
      <c r="G18" t="s">
        <v>58</v>
      </c>
      <c r="H18" t="s">
        <v>59</v>
      </c>
    </row>
    <row r="19" spans="1:8" x14ac:dyDescent="0.25">
      <c r="A19" t="s">
        <v>106</v>
      </c>
      <c r="B19" t="s">
        <v>105</v>
      </c>
      <c r="C19" t="s">
        <v>15</v>
      </c>
      <c r="D19" s="37">
        <v>249</v>
      </c>
      <c r="E19" s="37">
        <v>214</v>
      </c>
      <c r="F19" s="37">
        <v>275</v>
      </c>
      <c r="G19" t="s">
        <v>58</v>
      </c>
      <c r="H19" t="s">
        <v>59</v>
      </c>
    </row>
    <row r="20" spans="1:8" x14ac:dyDescent="0.25">
      <c r="A20" t="s">
        <v>107</v>
      </c>
      <c r="B20" t="s">
        <v>14</v>
      </c>
      <c r="C20" t="s">
        <v>15</v>
      </c>
      <c r="D20" s="5">
        <v>94.276666666666699</v>
      </c>
      <c r="E20" s="5">
        <v>89.743333333333297</v>
      </c>
      <c r="F20" s="5">
        <v>96.3</v>
      </c>
      <c r="G20" t="s">
        <v>58</v>
      </c>
      <c r="H20" t="s">
        <v>108</v>
      </c>
    </row>
    <row r="21" spans="1:8" x14ac:dyDescent="0.25">
      <c r="A21" t="s">
        <v>112</v>
      </c>
      <c r="B21" t="s">
        <v>59</v>
      </c>
      <c r="C21" t="s">
        <v>102</v>
      </c>
      <c r="D21" s="5">
        <f t="shared" ref="D21:F21" si="0">D43/D19</f>
        <v>0.13253012048192772</v>
      </c>
      <c r="E21" s="5">
        <f t="shared" si="0"/>
        <v>0.14953271028037382</v>
      </c>
      <c r="F21" s="5">
        <f t="shared" si="0"/>
        <v>0.11636363636363636</v>
      </c>
      <c r="G21" t="s">
        <v>110</v>
      </c>
      <c r="H21" t="s">
        <v>113</v>
      </c>
    </row>
    <row r="22" spans="1:8" x14ac:dyDescent="0.25">
      <c r="A22" t="s">
        <v>114</v>
      </c>
      <c r="B22" t="s">
        <v>59</v>
      </c>
      <c r="C22" t="s">
        <v>102</v>
      </c>
      <c r="D22" s="5">
        <f t="shared" ref="D22:F22" si="1">D44/D19</f>
        <v>0.43373493975903615</v>
      </c>
      <c r="E22" s="5">
        <f t="shared" si="1"/>
        <v>0.55607476635514019</v>
      </c>
      <c r="F22" s="5">
        <f t="shared" si="1"/>
        <v>0.44</v>
      </c>
      <c r="G22" t="s">
        <v>110</v>
      </c>
      <c r="H22" t="s">
        <v>115</v>
      </c>
    </row>
    <row r="23" spans="1:8" x14ac:dyDescent="0.25">
      <c r="A23" t="s">
        <v>116</v>
      </c>
      <c r="B23" t="s">
        <v>117</v>
      </c>
      <c r="C23" t="s">
        <v>118</v>
      </c>
      <c r="D23" s="5">
        <v>35.704501701298703</v>
      </c>
      <c r="E23" s="5">
        <v>32.3072038397436</v>
      </c>
      <c r="F23" s="5">
        <v>33.120738153374198</v>
      </c>
      <c r="G23" t="s">
        <v>119</v>
      </c>
      <c r="H23" t="s">
        <v>59</v>
      </c>
    </row>
    <row r="24" spans="1:8" x14ac:dyDescent="0.25">
      <c r="A24" t="s">
        <v>120</v>
      </c>
      <c r="B24" t="s">
        <v>117</v>
      </c>
      <c r="C24" t="s">
        <v>118</v>
      </c>
      <c r="D24" s="5">
        <v>60.182547935064903</v>
      </c>
      <c r="E24" s="5">
        <v>56.493333762820498</v>
      </c>
      <c r="F24" s="5">
        <v>56.637979730061303</v>
      </c>
      <c r="G24" t="s">
        <v>121</v>
      </c>
      <c r="H24" t="s">
        <v>59</v>
      </c>
    </row>
    <row r="25" spans="1:8" x14ac:dyDescent="0.25">
      <c r="A25" t="s">
        <v>122</v>
      </c>
      <c r="B25" t="s">
        <v>117</v>
      </c>
      <c r="C25" t="s">
        <v>118</v>
      </c>
      <c r="D25" s="5">
        <v>23.1525254200177</v>
      </c>
      <c r="E25" s="5">
        <v>20.200095386773601</v>
      </c>
      <c r="F25" s="5">
        <v>19.631564796363602</v>
      </c>
      <c r="G25" t="s">
        <v>123</v>
      </c>
      <c r="H25" t="s">
        <v>59</v>
      </c>
    </row>
    <row r="26" spans="1:8" x14ac:dyDescent="0.25">
      <c r="A26" t="s">
        <v>124</v>
      </c>
      <c r="B26" t="s">
        <v>117</v>
      </c>
      <c r="C26" t="s">
        <v>118</v>
      </c>
      <c r="D26" s="5">
        <v>39.025274251547401</v>
      </c>
      <c r="E26" s="5">
        <v>35.322485238477</v>
      </c>
      <c r="F26" s="5">
        <v>33.5708752581818</v>
      </c>
      <c r="G26" t="s">
        <v>125</v>
      </c>
      <c r="H26" t="s">
        <v>59</v>
      </c>
    </row>
    <row r="27" spans="1:8" x14ac:dyDescent="0.25">
      <c r="A27" t="s">
        <v>126</v>
      </c>
      <c r="B27" t="s">
        <v>127</v>
      </c>
      <c r="C27" t="s">
        <v>118</v>
      </c>
      <c r="D27" s="5">
        <v>6.8298048982980504</v>
      </c>
      <c r="E27" s="5">
        <v>7.0974315068493103</v>
      </c>
      <c r="F27" s="5">
        <v>8.2855308219178099</v>
      </c>
      <c r="G27" t="s">
        <v>39</v>
      </c>
      <c r="H27" t="s">
        <v>128</v>
      </c>
    </row>
    <row r="28" spans="1:8" x14ac:dyDescent="0.25">
      <c r="A28" t="s">
        <v>129</v>
      </c>
      <c r="B28" t="s">
        <v>14</v>
      </c>
      <c r="C28" t="s">
        <v>118</v>
      </c>
      <c r="D28" s="5">
        <v>33.605564149278202</v>
      </c>
      <c r="E28" s="5">
        <v>33.2055297801354</v>
      </c>
      <c r="F28" s="5">
        <v>32.881392756617799</v>
      </c>
      <c r="G28" t="s">
        <v>130</v>
      </c>
      <c r="H28" t="s">
        <v>131</v>
      </c>
    </row>
    <row r="29" spans="1:8" x14ac:dyDescent="0.25">
      <c r="A29" t="s">
        <v>132</v>
      </c>
      <c r="B29" t="s">
        <v>117</v>
      </c>
      <c r="C29" t="s">
        <v>118</v>
      </c>
      <c r="D29" s="5">
        <v>16361.853762000001</v>
      </c>
      <c r="E29" s="5">
        <v>15177.965334</v>
      </c>
      <c r="F29" s="5">
        <v>16418.648561999998</v>
      </c>
      <c r="G29" t="s">
        <v>59</v>
      </c>
      <c r="H29" t="s">
        <v>133</v>
      </c>
    </row>
    <row r="30" spans="1:8" x14ac:dyDescent="0.25">
      <c r="A30" t="s">
        <v>134</v>
      </c>
      <c r="B30" t="s">
        <v>117</v>
      </c>
      <c r="C30" t="s">
        <v>118</v>
      </c>
      <c r="D30" s="5">
        <v>5498.493262</v>
      </c>
      <c r="E30" s="5">
        <v>5039.9237990000001</v>
      </c>
      <c r="F30" s="5">
        <v>5398.6803190000001</v>
      </c>
      <c r="G30" t="s">
        <v>59</v>
      </c>
      <c r="H30" t="s">
        <v>59</v>
      </c>
    </row>
    <row r="31" spans="1:8" x14ac:dyDescent="0.25">
      <c r="A31" t="s">
        <v>135</v>
      </c>
      <c r="B31" t="s">
        <v>117</v>
      </c>
      <c r="C31" t="s">
        <v>118</v>
      </c>
      <c r="D31" s="5">
        <v>9268.1123819999993</v>
      </c>
      <c r="E31" s="5">
        <v>8812.960067</v>
      </c>
      <c r="F31" s="5">
        <v>9231.9906960000008</v>
      </c>
      <c r="G31" t="s">
        <v>59</v>
      </c>
      <c r="H31" t="s">
        <v>136</v>
      </c>
    </row>
    <row r="32" spans="1:8" x14ac:dyDescent="0.25">
      <c r="A32" t="s">
        <v>216</v>
      </c>
      <c r="B32" t="s">
        <v>117</v>
      </c>
      <c r="D32" s="17">
        <v>11799.24</v>
      </c>
      <c r="E32" s="17">
        <v>9924.36</v>
      </c>
      <c r="F32" s="17">
        <v>11373.22</v>
      </c>
    </row>
    <row r="33" spans="1:8" x14ac:dyDescent="0.25">
      <c r="A33" t="s">
        <v>143</v>
      </c>
      <c r="B33" t="s">
        <v>14</v>
      </c>
      <c r="D33" s="15">
        <v>3.26</v>
      </c>
      <c r="E33" s="15">
        <v>7.14</v>
      </c>
      <c r="F33" s="15">
        <v>2.1800000000000002</v>
      </c>
    </row>
    <row r="34" spans="1:8" x14ac:dyDescent="0.25">
      <c r="A34" t="s">
        <v>137</v>
      </c>
      <c r="B34" t="s">
        <v>138</v>
      </c>
      <c r="C34" t="s">
        <v>139</v>
      </c>
      <c r="D34" s="5"/>
      <c r="E34" s="5"/>
      <c r="F34" s="5"/>
      <c r="G34" t="s">
        <v>35</v>
      </c>
      <c r="H34" t="s">
        <v>140</v>
      </c>
    </row>
    <row r="35" spans="1:8" x14ac:dyDescent="0.25">
      <c r="A35" t="s">
        <v>217</v>
      </c>
      <c r="B35" t="s">
        <v>14</v>
      </c>
      <c r="C35" t="s">
        <v>118</v>
      </c>
      <c r="D35" s="5">
        <v>8.7814785836612295</v>
      </c>
      <c r="E35" s="5">
        <v>7.7745092311989099</v>
      </c>
      <c r="F35" s="5">
        <v>7.0768023787852101</v>
      </c>
      <c r="G35" t="s">
        <v>22</v>
      </c>
      <c r="H35" t="s">
        <v>218</v>
      </c>
    </row>
    <row r="36" spans="1:8" x14ac:dyDescent="0.25">
      <c r="A36" t="s">
        <v>219</v>
      </c>
      <c r="B36" t="s">
        <v>14</v>
      </c>
      <c r="C36" t="s">
        <v>118</v>
      </c>
      <c r="D36" s="5">
        <v>91.218521416338803</v>
      </c>
      <c r="E36" s="5">
        <v>92.225490768801095</v>
      </c>
      <c r="F36" s="5">
        <v>92.923197621214797</v>
      </c>
      <c r="G36" t="s">
        <v>22</v>
      </c>
      <c r="H36" t="s">
        <v>220</v>
      </c>
    </row>
    <row r="37" spans="1:8" x14ac:dyDescent="0.25">
      <c r="A37" t="s">
        <v>144</v>
      </c>
      <c r="B37" t="s">
        <v>14</v>
      </c>
      <c r="C37" t="s">
        <v>118</v>
      </c>
      <c r="D37" s="5">
        <v>7.8000469888278401</v>
      </c>
      <c r="E37" s="5">
        <v>-7.5565490260354897</v>
      </c>
      <c r="F37" s="5">
        <v>12.625805715200899</v>
      </c>
      <c r="G37" t="s">
        <v>35</v>
      </c>
      <c r="H37" t="s">
        <v>145</v>
      </c>
    </row>
    <row r="38" spans="1:8" x14ac:dyDescent="0.25">
      <c r="A38" t="s">
        <v>146</v>
      </c>
      <c r="B38" t="s">
        <v>14</v>
      </c>
      <c r="C38" t="s">
        <v>118</v>
      </c>
      <c r="D38" s="5">
        <v>2.7962866152567001</v>
      </c>
      <c r="E38" s="5">
        <v>2.3479930371049198</v>
      </c>
      <c r="F38" s="5">
        <v>-66.956925543962299</v>
      </c>
      <c r="G38" t="s">
        <v>35</v>
      </c>
      <c r="H38" t="s">
        <v>147</v>
      </c>
    </row>
    <row r="39" spans="1:8" x14ac:dyDescent="0.25">
      <c r="A39" t="s">
        <v>148</v>
      </c>
      <c r="B39" t="s">
        <v>14</v>
      </c>
      <c r="C39" t="s">
        <v>118</v>
      </c>
      <c r="D39" s="5">
        <v>6.6463007694637799</v>
      </c>
      <c r="E39" s="5">
        <v>-2.0660980345234998</v>
      </c>
      <c r="F39" s="5">
        <v>19.289379945063001</v>
      </c>
      <c r="G39" t="s">
        <v>35</v>
      </c>
      <c r="H39" t="s">
        <v>149</v>
      </c>
    </row>
    <row r="40" spans="1:8" x14ac:dyDescent="0.25">
      <c r="A40" t="s">
        <v>150</v>
      </c>
      <c r="B40" t="s">
        <v>14</v>
      </c>
      <c r="C40" t="s">
        <v>118</v>
      </c>
      <c r="D40" s="5">
        <v>5.2522104295680796</v>
      </c>
      <c r="E40" s="5">
        <v>-3.7338060076478898</v>
      </c>
      <c r="F40" s="5">
        <v>-63.011531802930499</v>
      </c>
      <c r="G40" t="s">
        <v>35</v>
      </c>
      <c r="H40" t="s">
        <v>151</v>
      </c>
    </row>
    <row r="41" spans="1:8" x14ac:dyDescent="0.25">
      <c r="A41" t="s">
        <v>152</v>
      </c>
      <c r="B41" t="s">
        <v>14</v>
      </c>
      <c r="C41" t="s">
        <v>118</v>
      </c>
      <c r="D41" s="5">
        <v>-3.7327155279106998</v>
      </c>
      <c r="E41" s="5">
        <v>-19.4784242203555</v>
      </c>
      <c r="F41" s="5">
        <v>2.3681169400536302</v>
      </c>
      <c r="G41" t="s">
        <v>35</v>
      </c>
      <c r="H41" t="s">
        <v>153</v>
      </c>
    </row>
    <row r="42" spans="1:8" x14ac:dyDescent="0.25">
      <c r="A42" t="s">
        <v>164</v>
      </c>
      <c r="B42" t="s">
        <v>59</v>
      </c>
      <c r="C42" t="s">
        <v>102</v>
      </c>
      <c r="D42" s="6">
        <v>0.31</v>
      </c>
      <c r="E42" s="6">
        <v>0.27</v>
      </c>
      <c r="F42" s="6">
        <v>0.26</v>
      </c>
      <c r="G42" t="s">
        <v>165</v>
      </c>
      <c r="H42" t="s">
        <v>166</v>
      </c>
    </row>
    <row r="43" spans="1:8" x14ac:dyDescent="0.25">
      <c r="A43" t="s">
        <v>167</v>
      </c>
      <c r="B43" t="s">
        <v>101</v>
      </c>
      <c r="C43" t="s">
        <v>102</v>
      </c>
      <c r="D43" s="6">
        <v>33</v>
      </c>
      <c r="E43" s="6">
        <v>32</v>
      </c>
      <c r="F43" s="6">
        <v>32</v>
      </c>
      <c r="G43" t="s">
        <v>168</v>
      </c>
      <c r="H43" t="s">
        <v>59</v>
      </c>
    </row>
    <row r="44" spans="1:8" x14ac:dyDescent="0.25">
      <c r="A44" t="s">
        <v>169</v>
      </c>
      <c r="B44" t="s">
        <v>101</v>
      </c>
      <c r="C44" t="s">
        <v>102</v>
      </c>
      <c r="D44" s="6">
        <v>108</v>
      </c>
      <c r="E44" s="6">
        <v>119</v>
      </c>
      <c r="F44" s="6">
        <v>121</v>
      </c>
      <c r="G44" t="s">
        <v>168</v>
      </c>
      <c r="H44" t="s">
        <v>59</v>
      </c>
    </row>
    <row r="45" spans="1:8" x14ac:dyDescent="0.25">
      <c r="A45" t="s">
        <v>221</v>
      </c>
      <c r="B45" t="s">
        <v>14</v>
      </c>
      <c r="C45" t="s">
        <v>102</v>
      </c>
      <c r="D45" s="6">
        <v>48.48</v>
      </c>
      <c r="E45" s="6">
        <v>46.88</v>
      </c>
      <c r="F45" s="6">
        <v>46.88</v>
      </c>
      <c r="G45" t="s">
        <v>59</v>
      </c>
      <c r="H45" t="s">
        <v>222</v>
      </c>
    </row>
    <row r="46" spans="1:8" x14ac:dyDescent="0.25">
      <c r="A46" t="s">
        <v>223</v>
      </c>
      <c r="B46" t="s">
        <v>14</v>
      </c>
      <c r="C46" t="s">
        <v>102</v>
      </c>
      <c r="D46" s="6">
        <v>12.12</v>
      </c>
      <c r="E46" s="6">
        <v>12.5</v>
      </c>
      <c r="F46" s="6">
        <v>9.3800000000000008</v>
      </c>
      <c r="G46" t="s">
        <v>59</v>
      </c>
      <c r="H46" t="s">
        <v>224</v>
      </c>
    </row>
    <row r="47" spans="1:8" x14ac:dyDescent="0.25">
      <c r="A47" t="s">
        <v>225</v>
      </c>
      <c r="B47" t="s">
        <v>14</v>
      </c>
      <c r="C47" t="s">
        <v>102</v>
      </c>
      <c r="D47" s="6">
        <v>63.64</v>
      </c>
      <c r="E47" s="6">
        <v>59.38</v>
      </c>
      <c r="F47" s="6">
        <v>62.5</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11">
        <v>7.0920000000000002E-3</v>
      </c>
      <c r="E50" s="11">
        <v>6.6230000000000004E-3</v>
      </c>
      <c r="F50" s="11">
        <v>6.5360000000000001E-3</v>
      </c>
      <c r="G50" t="s">
        <v>191</v>
      </c>
      <c r="H50" t="s">
        <v>194</v>
      </c>
    </row>
    <row r="51" spans="1:8" x14ac:dyDescent="0.25">
      <c r="A51" t="s">
        <v>195</v>
      </c>
      <c r="B51" t="s">
        <v>196</v>
      </c>
      <c r="C51" t="s">
        <v>176</v>
      </c>
      <c r="D51" s="5">
        <v>282511.58865248202</v>
      </c>
      <c r="E51" s="5">
        <v>135298.01324503301</v>
      </c>
      <c r="F51" s="5">
        <v>389056.20915032702</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48">
        <v>0.1</v>
      </c>
      <c r="E54" s="48">
        <v>0.184</v>
      </c>
      <c r="F54" s="48">
        <v>7.9000000000000001E-2</v>
      </c>
      <c r="G54" t="s">
        <v>205</v>
      </c>
      <c r="H54" t="s">
        <v>59</v>
      </c>
    </row>
    <row r="55" spans="1:8" x14ac:dyDescent="0.25">
      <c r="A55" t="s">
        <v>206</v>
      </c>
      <c r="B55" t="s">
        <v>207</v>
      </c>
      <c r="C55" t="s">
        <v>176</v>
      </c>
      <c r="D55" s="48">
        <v>0.315</v>
      </c>
      <c r="E55" s="48">
        <v>0.46800000000000003</v>
      </c>
      <c r="F55" s="48">
        <v>0.16900000000000001</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18.18</v>
      </c>
      <c r="E57" s="6">
        <v>15.66</v>
      </c>
      <c r="F57" s="6">
        <v>6.25</v>
      </c>
      <c r="G57" t="s">
        <v>59</v>
      </c>
      <c r="H57" t="s">
        <v>211</v>
      </c>
    </row>
    <row r="58" spans="1:8" x14ac:dyDescent="0.25">
      <c r="A58" t="s">
        <v>212</v>
      </c>
      <c r="B58" t="s">
        <v>14</v>
      </c>
      <c r="C58" t="s">
        <v>15</v>
      </c>
      <c r="D58" s="5">
        <v>7.8630526043405098</v>
      </c>
      <c r="E58" s="5">
        <v>7.4458418362486096</v>
      </c>
      <c r="F58" s="5">
        <v>8.9621847929865801</v>
      </c>
      <c r="G58" t="s">
        <v>59</v>
      </c>
      <c r="H58" t="s">
        <v>213</v>
      </c>
    </row>
    <row r="59" spans="1:8" x14ac:dyDescent="0.25">
      <c r="A59" t="s">
        <v>214</v>
      </c>
      <c r="B59" t="s">
        <v>14</v>
      </c>
      <c r="C59" t="s">
        <v>15</v>
      </c>
      <c r="D59" s="5">
        <v>0.104323635099107</v>
      </c>
      <c r="E59" s="5">
        <v>5.8671673316123003E-2</v>
      </c>
      <c r="F59" s="5">
        <v>0.63173946193225095</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[1]大骨科!$O$4</f>
        <v>取除骨折或关节内外固定</v>
      </c>
      <c r="E72" s="10" t="str">
        <f>[1]大骨科!$I$4</f>
        <v>腰椎间盘疾患</v>
      </c>
      <c r="F72" s="10" t="str">
        <f>[1]大骨科!$C$4</f>
        <v>腰椎间盘疾患</v>
      </c>
      <c r="G72" t="s">
        <v>59</v>
      </c>
      <c r="H72" t="s">
        <v>59</v>
      </c>
    </row>
    <row r="73" spans="1:8" x14ac:dyDescent="0.25">
      <c r="A73" t="s">
        <v>241</v>
      </c>
      <c r="B73" t="s">
        <v>59</v>
      </c>
      <c r="C73" t="s">
        <v>90</v>
      </c>
      <c r="D73" s="10" t="str">
        <f>[1]大骨科!$N$4</f>
        <v>Z47</v>
      </c>
      <c r="E73" s="10" t="str">
        <f>[1]大骨科!$H$4</f>
        <v>M51-</v>
      </c>
      <c r="F73" s="10" t="str">
        <f>[1]大骨科!$B$4</f>
        <v>M51-</v>
      </c>
      <c r="G73" t="s">
        <v>59</v>
      </c>
      <c r="H73" t="s">
        <v>59</v>
      </c>
    </row>
    <row r="74" spans="1:8" x14ac:dyDescent="0.25">
      <c r="A74" t="s">
        <v>242</v>
      </c>
      <c r="B74" t="s">
        <v>14</v>
      </c>
      <c r="C74" t="s">
        <v>90</v>
      </c>
      <c r="D74" s="10">
        <f>[1]大骨科!$Q$4</f>
        <v>10.015068969514299</v>
      </c>
      <c r="E74" s="10">
        <f>[1]大骨科!$K$4</f>
        <v>10.5961042008918</v>
      </c>
      <c r="F74" s="10">
        <f>[1]大骨科!$E$4</f>
        <v>13.876484043132599</v>
      </c>
      <c r="G74" t="s">
        <v>59</v>
      </c>
      <c r="H74" t="s">
        <v>59</v>
      </c>
    </row>
    <row r="75" spans="1:8" x14ac:dyDescent="0.25">
      <c r="A75" t="s">
        <v>243</v>
      </c>
      <c r="B75" t="s">
        <v>59</v>
      </c>
      <c r="C75" t="s">
        <v>90</v>
      </c>
      <c r="D75" s="10" t="str">
        <f>[1]大骨科!$O$5</f>
        <v>腰椎间盘疾患</v>
      </c>
      <c r="E75" s="10" t="str">
        <f>[1]大骨科!$I$5</f>
        <v>取除骨折或关节内外固定</v>
      </c>
      <c r="F75" s="10" t="str">
        <f>[1]大骨科!$C$5</f>
        <v>取除骨折内固定装置</v>
      </c>
      <c r="G75" t="s">
        <v>59</v>
      </c>
      <c r="H75" t="s">
        <v>59</v>
      </c>
    </row>
    <row r="76" spans="1:8" x14ac:dyDescent="0.25">
      <c r="A76" t="s">
        <v>244</v>
      </c>
      <c r="B76" t="s">
        <v>59</v>
      </c>
      <c r="C76" t="s">
        <v>90</v>
      </c>
      <c r="D76" s="10" t="str">
        <f>[1]大骨科!$N$5</f>
        <v>M51.-</v>
      </c>
      <c r="E76" s="10" t="str">
        <f>[1]大骨科!$H$5</f>
        <v>Z47</v>
      </c>
      <c r="F76" s="10" t="str">
        <f>[1]大骨科!$B$5</f>
        <v>Z47.0</v>
      </c>
      <c r="G76" t="s">
        <v>59</v>
      </c>
      <c r="H76" t="s">
        <v>59</v>
      </c>
    </row>
    <row r="77" spans="1:8" x14ac:dyDescent="0.25">
      <c r="A77" t="s">
        <v>245</v>
      </c>
      <c r="B77" t="s">
        <v>14</v>
      </c>
      <c r="C77" t="s">
        <v>90</v>
      </c>
      <c r="D77" s="10">
        <f>[1]大骨科!$Q$5</f>
        <v>10.003477454503299</v>
      </c>
      <c r="E77" s="10">
        <f>[1]大骨科!$K$5</f>
        <v>8.2022999295939893</v>
      </c>
      <c r="F77" s="10">
        <f>[1]大骨科!$E$5</f>
        <v>7.8531750353991896</v>
      </c>
      <c r="G77" t="s">
        <v>59</v>
      </c>
      <c r="H77" t="s">
        <v>59</v>
      </c>
    </row>
    <row r="78" spans="1:8" x14ac:dyDescent="0.25">
      <c r="A78" t="s">
        <v>246</v>
      </c>
      <c r="B78" t="s">
        <v>59</v>
      </c>
      <c r="C78" t="s">
        <v>90</v>
      </c>
      <c r="D78" s="10" t="str">
        <f>[1]大骨科!$O$6</f>
        <v>股骨骨折</v>
      </c>
      <c r="E78" s="10" t="str">
        <f>[1]大骨科!$I$6</f>
        <v>股骨骨折</v>
      </c>
      <c r="F78" s="10" t="str">
        <f>[1]大骨科!$C$6</f>
        <v>股骨骨折</v>
      </c>
      <c r="G78" t="s">
        <v>59</v>
      </c>
      <c r="H78" t="s">
        <v>59</v>
      </c>
    </row>
    <row r="79" spans="1:8" x14ac:dyDescent="0.25">
      <c r="A79" t="s">
        <v>247</v>
      </c>
      <c r="B79" t="s">
        <v>59</v>
      </c>
      <c r="C79" t="s">
        <v>90</v>
      </c>
      <c r="D79" s="10" t="str">
        <f>[1]大骨科!$N$6</f>
        <v>S72</v>
      </c>
      <c r="E79" s="10" t="str">
        <f>[1]大骨科!$H$6</f>
        <v>S72</v>
      </c>
      <c r="F79" s="10" t="str">
        <f>[1]大骨科!$B$6</f>
        <v>S72</v>
      </c>
      <c r="G79" t="s">
        <v>59</v>
      </c>
      <c r="H79" t="s">
        <v>59</v>
      </c>
    </row>
    <row r="80" spans="1:8" x14ac:dyDescent="0.25">
      <c r="A80" t="s">
        <v>248</v>
      </c>
      <c r="B80" t="s">
        <v>14</v>
      </c>
      <c r="C80" t="s">
        <v>90</v>
      </c>
      <c r="D80" s="10">
        <f>[1]大骨科!$Q$6</f>
        <v>5.5407441752637103</v>
      </c>
      <c r="E80" s="10">
        <f>[1]大骨科!$K$6</f>
        <v>4.3534381600563297</v>
      </c>
      <c r="F80" s="10">
        <f>[1]大骨科!$E$6</f>
        <v>5.7727916348981596</v>
      </c>
      <c r="G80" t="s">
        <v>59</v>
      </c>
      <c r="H80" t="s">
        <v>59</v>
      </c>
    </row>
    <row r="81" spans="1:8" x14ac:dyDescent="0.25">
      <c r="A81" t="s">
        <v>249</v>
      </c>
      <c r="B81" t="s">
        <v>59</v>
      </c>
      <c r="C81" t="s">
        <v>90</v>
      </c>
      <c r="D81" s="10" t="str">
        <f>[1]大骨科!$O$7</f>
        <v>小腿骨骨折</v>
      </c>
      <c r="E81" s="10" t="str">
        <f>[1]大骨科!$I$7</f>
        <v>肱骨骨折</v>
      </c>
      <c r="F81" s="10" t="str">
        <f>[1]大骨科!$C$7</f>
        <v>骨质疏松伴有病理性骨折</v>
      </c>
      <c r="G81" t="s">
        <v>59</v>
      </c>
      <c r="H81" t="s">
        <v>59</v>
      </c>
    </row>
    <row r="82" spans="1:8" x14ac:dyDescent="0.25">
      <c r="A82" t="s">
        <v>250</v>
      </c>
      <c r="B82" t="s">
        <v>59</v>
      </c>
      <c r="C82" t="s">
        <v>90</v>
      </c>
      <c r="D82" s="10" t="str">
        <f>[1]大骨科!$N$7</f>
        <v>S82</v>
      </c>
      <c r="E82" s="10" t="str">
        <f>[1]大骨科!$H$7</f>
        <v>S42</v>
      </c>
      <c r="F82" s="10" t="str">
        <f>[1]大骨科!$B$7</f>
        <v>M80</v>
      </c>
      <c r="G82" t="s">
        <v>59</v>
      </c>
      <c r="H82" t="s">
        <v>59</v>
      </c>
    </row>
    <row r="83" spans="1:8" x14ac:dyDescent="0.25">
      <c r="A83" t="s">
        <v>251</v>
      </c>
      <c r="B83" t="s">
        <v>14</v>
      </c>
      <c r="C83" t="s">
        <v>90</v>
      </c>
      <c r="D83" s="10">
        <f>[1]大骨科!$Q$7</f>
        <v>4.1149878289092401</v>
      </c>
      <c r="E83" s="10">
        <f>[1]大骨科!$K$7</f>
        <v>3.9192677775170099</v>
      </c>
      <c r="F83" s="10">
        <f>[1]大骨科!$E$7</f>
        <v>4.5528809497876104</v>
      </c>
      <c r="G83" t="s">
        <v>59</v>
      </c>
      <c r="H83" t="s">
        <v>59</v>
      </c>
    </row>
    <row r="84" spans="1:8" x14ac:dyDescent="0.25">
      <c r="A84" t="s">
        <v>252</v>
      </c>
      <c r="B84" t="s">
        <v>59</v>
      </c>
      <c r="C84" t="s">
        <v>90</v>
      </c>
      <c r="D84" s="10" t="str">
        <f>[1]大骨科!$O$8</f>
        <v>骨质疏松伴有病理性骨折</v>
      </c>
      <c r="E84" s="10" t="str">
        <f>[1]大骨科!$I$8</f>
        <v>骨质疏松伴有病理性骨折</v>
      </c>
      <c r="F84" s="10" t="str">
        <f>[1]大骨科!$C$8</f>
        <v>小腿骨骨折</v>
      </c>
      <c r="G84" t="s">
        <v>59</v>
      </c>
      <c r="H84" t="s">
        <v>59</v>
      </c>
    </row>
    <row r="85" spans="1:8" x14ac:dyDescent="0.25">
      <c r="A85" t="s">
        <v>253</v>
      </c>
      <c r="B85" t="s">
        <v>59</v>
      </c>
      <c r="C85" t="s">
        <v>90</v>
      </c>
      <c r="D85" s="10" t="str">
        <f>[1]大骨科!$N$8</f>
        <v>M80</v>
      </c>
      <c r="E85" s="10" t="str">
        <f>[1]大骨科!$H$8</f>
        <v>M80</v>
      </c>
      <c r="F85" s="10" t="str">
        <f>[1]大骨科!$B$8</f>
        <v>S82</v>
      </c>
      <c r="G85" t="s">
        <v>59</v>
      </c>
      <c r="H85" t="s">
        <v>59</v>
      </c>
    </row>
    <row r="86" spans="1:8" x14ac:dyDescent="0.25">
      <c r="A86" t="s">
        <v>254</v>
      </c>
      <c r="B86" t="s">
        <v>14</v>
      </c>
      <c r="C86" t="s">
        <v>90</v>
      </c>
      <c r="D86" s="10">
        <f>[1]大骨科!$Q$8</f>
        <v>4.0338472238321597</v>
      </c>
      <c r="E86" s="10">
        <f>[1]大骨科!$K$8</f>
        <v>3.8488617695376699</v>
      </c>
      <c r="F86" s="10">
        <f>[1]大骨科!$E$8</f>
        <v>4.21522709944451</v>
      </c>
      <c r="G86" t="s">
        <v>59</v>
      </c>
      <c r="H86" t="s">
        <v>59</v>
      </c>
    </row>
    <row r="87" spans="1:8" x14ac:dyDescent="0.25">
      <c r="A87" t="s">
        <v>255</v>
      </c>
      <c r="B87" t="s">
        <v>59</v>
      </c>
      <c r="C87" t="s">
        <v>90</v>
      </c>
      <c r="D87" s="22" t="str">
        <f>[2]大骨科!$O$4</f>
        <v>骨折切开复位内固定术</v>
      </c>
      <c r="E87" s="22" t="str">
        <f>[2]大骨科!$I$4</f>
        <v>骨折切开复位内固定术</v>
      </c>
      <c r="F87" s="22" t="str">
        <f>[2]大骨科!$C$4</f>
        <v>骨折切开复位内固定术</v>
      </c>
      <c r="G87" t="s">
        <v>59</v>
      </c>
      <c r="H87" t="s">
        <v>59</v>
      </c>
    </row>
    <row r="88" spans="1:8" x14ac:dyDescent="0.25">
      <c r="A88" t="s">
        <v>256</v>
      </c>
      <c r="B88" t="s">
        <v>59</v>
      </c>
      <c r="C88" t="s">
        <v>90</v>
      </c>
      <c r="D88" s="23" t="str">
        <f>[2]大骨科!$N$4</f>
        <v>79.3</v>
      </c>
      <c r="E88" s="23" t="str">
        <f>[2]大骨科!$H$4</f>
        <v>79.3</v>
      </c>
      <c r="F88" s="23" t="str">
        <f>[2]大骨科!$B$4</f>
        <v>79.3</v>
      </c>
      <c r="G88" t="s">
        <v>59</v>
      </c>
      <c r="H88" t="s">
        <v>59</v>
      </c>
    </row>
    <row r="89" spans="1:8" x14ac:dyDescent="0.25">
      <c r="A89" t="s">
        <v>257</v>
      </c>
      <c r="B89" t="s">
        <v>14</v>
      </c>
      <c r="C89" t="s">
        <v>90</v>
      </c>
      <c r="D89" s="24">
        <f>[2]大骨科!$Q$4</f>
        <v>18.764267234819702</v>
      </c>
      <c r="E89" s="24">
        <f>[2]大骨科!$K$4</f>
        <v>19.982174688057</v>
      </c>
      <c r="F89" s="24">
        <f>[2]大骨科!$E$4</f>
        <v>21.210106382978701</v>
      </c>
      <c r="G89" t="s">
        <v>59</v>
      </c>
      <c r="H89" t="s">
        <v>59</v>
      </c>
    </row>
    <row r="90" spans="1:8" x14ac:dyDescent="0.25">
      <c r="A90" t="s">
        <v>258</v>
      </c>
      <c r="B90" t="s">
        <v>59</v>
      </c>
      <c r="C90" t="s">
        <v>90</v>
      </c>
      <c r="D90" s="25" t="str">
        <f>[2]大骨科!$O$5</f>
        <v>骨内固定装置去除术</v>
      </c>
      <c r="E90" s="25" t="str">
        <f>[2]大骨科!$I$5</f>
        <v>骨内固定装置去除术</v>
      </c>
      <c r="F90" s="25" t="str">
        <f>[2]大骨科!$C$5</f>
        <v>骨内固定装置去除术</v>
      </c>
      <c r="G90" t="s">
        <v>59</v>
      </c>
      <c r="H90" t="s">
        <v>59</v>
      </c>
    </row>
    <row r="91" spans="1:8" x14ac:dyDescent="0.25">
      <c r="A91" t="s">
        <v>259</v>
      </c>
      <c r="B91" t="s">
        <v>59</v>
      </c>
      <c r="C91" t="s">
        <v>90</v>
      </c>
      <c r="D91" s="26" t="str">
        <f>[2]大骨科!$N$5</f>
        <v>78.6</v>
      </c>
      <c r="E91" s="26" t="str">
        <f>[2]大骨科!$H$5</f>
        <v>78.6</v>
      </c>
      <c r="F91" s="26" t="str">
        <f>[2]大骨科!$B$5</f>
        <v>78.6</v>
      </c>
      <c r="G91" t="s">
        <v>59</v>
      </c>
      <c r="H91" t="s">
        <v>59</v>
      </c>
    </row>
    <row r="92" spans="1:8" x14ac:dyDescent="0.25">
      <c r="A92" t="s">
        <v>260</v>
      </c>
      <c r="B92" t="s">
        <v>14</v>
      </c>
      <c r="C92" t="s">
        <v>90</v>
      </c>
      <c r="D92" s="24">
        <f>[2]大骨科!$Q$5</f>
        <v>13.4226145183382</v>
      </c>
      <c r="E92" s="24">
        <f>[2]大骨科!$K$5</f>
        <v>12.976827094474199</v>
      </c>
      <c r="F92" s="24">
        <f>[2]大骨科!$E$5</f>
        <v>24.456163480553698</v>
      </c>
      <c r="G92" t="s">
        <v>59</v>
      </c>
      <c r="H92" t="s">
        <v>59</v>
      </c>
    </row>
    <row r="93" spans="1:8" x14ac:dyDescent="0.25">
      <c r="A93" t="s">
        <v>261</v>
      </c>
      <c r="B93" t="s">
        <v>59</v>
      </c>
      <c r="C93" t="s">
        <v>90</v>
      </c>
      <c r="D93" s="27" t="str">
        <f>[2]大骨科!$O$6</f>
        <v>腰椎间盘切除术(椎间盘髓核切除术)，后路法</v>
      </c>
      <c r="E93" s="27" t="str">
        <f>[2]大骨科!$I$6</f>
        <v>腰椎间盘切除术(椎间盘髓核切除术)，后路法</v>
      </c>
      <c r="F93" s="27" t="str">
        <f>[2]大骨科!$C$6</f>
        <v>腰椎间盘切除术(椎间盘髓核切除术)，后路法</v>
      </c>
      <c r="G93" t="s">
        <v>59</v>
      </c>
      <c r="H93" t="s">
        <v>59</v>
      </c>
    </row>
    <row r="94" spans="1:8" x14ac:dyDescent="0.25">
      <c r="A94" t="s">
        <v>262</v>
      </c>
      <c r="B94" t="s">
        <v>59</v>
      </c>
      <c r="C94" t="s">
        <v>90</v>
      </c>
      <c r="D94" s="28" t="str">
        <f>[2]大骨科!$N$6</f>
        <v>80.5</v>
      </c>
      <c r="E94" s="28" t="str">
        <f>[2]大骨科!$H$6</f>
        <v>80.5</v>
      </c>
      <c r="F94" s="28" t="str">
        <f>[2]大骨科!$B$6</f>
        <v>80.5</v>
      </c>
      <c r="G94" t="s">
        <v>59</v>
      </c>
      <c r="H94" t="s">
        <v>59</v>
      </c>
    </row>
    <row r="95" spans="1:8" x14ac:dyDescent="0.25">
      <c r="A95" t="s">
        <v>263</v>
      </c>
      <c r="B95" t="s">
        <v>14</v>
      </c>
      <c r="C95" t="s">
        <v>90</v>
      </c>
      <c r="D95" s="24">
        <f>[2]大骨科!$Q$6</f>
        <v>10.5615583625019</v>
      </c>
      <c r="E95" s="24">
        <f>[2]大骨科!$K$6</f>
        <v>11.319073083778999</v>
      </c>
      <c r="F95" s="24">
        <f>[2]大骨科!$E$6</f>
        <v>48.619957537155003</v>
      </c>
      <c r="G95" t="s">
        <v>59</v>
      </c>
      <c r="H95" t="s">
        <v>59</v>
      </c>
    </row>
    <row r="96" spans="1:8" x14ac:dyDescent="0.25">
      <c r="A96" t="s">
        <v>264</v>
      </c>
      <c r="B96" t="s">
        <v>59</v>
      </c>
      <c r="C96" t="s">
        <v>90</v>
      </c>
      <c r="D96" s="24" t="str">
        <f>[2]大骨科!$O$7</f>
        <v>髋膝关节置换术，单侧，骨病型</v>
      </c>
      <c r="E96" s="24" t="str">
        <f>[2]大骨科!$I$7</f>
        <v>髋膝关节置换术，单侧，骨病型</v>
      </c>
      <c r="F96" s="24" t="str">
        <f>[2]大骨科!$C$7</f>
        <v>髋膝关节置换术，单侧，骨病型</v>
      </c>
      <c r="G96" t="s">
        <v>59</v>
      </c>
      <c r="H96" t="s">
        <v>59</v>
      </c>
    </row>
    <row r="97" spans="1:8" x14ac:dyDescent="0.25">
      <c r="A97" t="s">
        <v>265</v>
      </c>
      <c r="B97" t="s">
        <v>59</v>
      </c>
      <c r="C97" t="s">
        <v>90</v>
      </c>
      <c r="D97" s="25" t="str">
        <f>[2]大骨科!$N$7</f>
        <v>81.5</v>
      </c>
      <c r="E97" s="25" t="str">
        <f>[2]大骨科!$H$7</f>
        <v>81.5</v>
      </c>
      <c r="F97" s="25" t="str">
        <f>[2]大骨科!$B$7</f>
        <v>81.5</v>
      </c>
      <c r="G97" t="s">
        <v>59</v>
      </c>
      <c r="H97" t="s">
        <v>59</v>
      </c>
    </row>
    <row r="98" spans="1:8" x14ac:dyDescent="0.25">
      <c r="A98" t="s">
        <v>266</v>
      </c>
      <c r="B98" t="s">
        <v>14</v>
      </c>
      <c r="C98" t="s">
        <v>90</v>
      </c>
      <c r="D98" s="26">
        <f>[2]大骨科!$Q$7</f>
        <v>8.4918581646629097</v>
      </c>
      <c r="E98" s="26">
        <f>[2]大骨科!$K$7</f>
        <v>9.3226381461675594</v>
      </c>
      <c r="F98" s="26">
        <f>[2]大骨科!$E$7</f>
        <v>35.2453792224347</v>
      </c>
      <c r="G98" t="s">
        <v>59</v>
      </c>
      <c r="H98" t="s">
        <v>59</v>
      </c>
    </row>
    <row r="99" spans="1:8" x14ac:dyDescent="0.25">
      <c r="A99" t="s">
        <v>267</v>
      </c>
      <c r="B99" t="s">
        <v>59</v>
      </c>
      <c r="C99" t="s">
        <v>90</v>
      </c>
      <c r="D99" s="24" t="str">
        <f>[2]大骨科!$O$8</f>
        <v>腰胸椎骨成形术(PVP)</v>
      </c>
      <c r="E99" s="24" t="str">
        <f>[2]大骨科!$I$8</f>
        <v>腰胸椎骨成形术(PVP)</v>
      </c>
      <c r="F99" s="24" t="str">
        <f>[2]大骨科!$C$8</f>
        <v>腰胸椎骨成形术(PVP)</v>
      </c>
      <c r="G99" t="s">
        <v>59</v>
      </c>
      <c r="H99" t="s">
        <v>59</v>
      </c>
    </row>
    <row r="100" spans="1:8" x14ac:dyDescent="0.25">
      <c r="A100" t="s">
        <v>268</v>
      </c>
      <c r="B100" t="s">
        <v>59</v>
      </c>
      <c r="C100" t="s">
        <v>90</v>
      </c>
      <c r="D100" s="10" t="str">
        <f>[2]大骨科!$N$8</f>
        <v>81.6</v>
      </c>
      <c r="E100" s="10" t="str">
        <f>[2]大骨科!$H$8</f>
        <v>81.6</v>
      </c>
      <c r="F100" s="10" t="str">
        <f>[2]大骨科!$B$8</f>
        <v>81.6</v>
      </c>
      <c r="G100" t="s">
        <v>59</v>
      </c>
      <c r="H100" t="s">
        <v>59</v>
      </c>
    </row>
    <row r="101" spans="1:8" x14ac:dyDescent="0.25">
      <c r="A101" t="s">
        <v>269</v>
      </c>
      <c r="B101" t="s">
        <v>14</v>
      </c>
      <c r="C101" t="s">
        <v>90</v>
      </c>
      <c r="D101" s="10">
        <f>[2]大骨科!$Q$8</f>
        <v>5.8286409983259801</v>
      </c>
      <c r="E101" s="10">
        <f>[2]大骨科!$K$8</f>
        <v>5.0267379679144399</v>
      </c>
      <c r="F101" s="10">
        <f>[2]大骨科!$E$8</f>
        <v>10.7706592386258</v>
      </c>
      <c r="G101" t="s">
        <v>59</v>
      </c>
      <c r="H101" t="s">
        <v>59</v>
      </c>
    </row>
  </sheetData>
  <phoneticPr fontId="10" type="noConversion"/>
  <conditionalFormatting sqref="D88">
    <cfRule type="duplicateValues" dxfId="251" priority="12"/>
  </conditionalFormatting>
  <conditionalFormatting sqref="E88">
    <cfRule type="duplicateValues" dxfId="250" priority="4"/>
  </conditionalFormatting>
  <conditionalFormatting sqref="F88">
    <cfRule type="duplicateValues" dxfId="249" priority="8"/>
  </conditionalFormatting>
  <conditionalFormatting sqref="D91">
    <cfRule type="duplicateValues" dxfId="248" priority="11"/>
  </conditionalFormatting>
  <conditionalFormatting sqref="E91">
    <cfRule type="duplicateValues" dxfId="247" priority="3"/>
  </conditionalFormatting>
  <conditionalFormatting sqref="F91">
    <cfRule type="duplicateValues" dxfId="246" priority="7"/>
  </conditionalFormatting>
  <conditionalFormatting sqref="D94">
    <cfRule type="duplicateValues" dxfId="245" priority="9"/>
  </conditionalFormatting>
  <conditionalFormatting sqref="E94">
    <cfRule type="duplicateValues" dxfId="244" priority="1"/>
  </conditionalFormatting>
  <conditionalFormatting sqref="F94">
    <cfRule type="duplicateValues" dxfId="243" priority="5"/>
  </conditionalFormatting>
  <conditionalFormatting sqref="D98">
    <cfRule type="duplicateValues" dxfId="242" priority="10"/>
  </conditionalFormatting>
  <conditionalFormatting sqref="E98">
    <cfRule type="duplicateValues" dxfId="241" priority="2"/>
  </conditionalFormatting>
  <conditionalFormatting sqref="F98">
    <cfRule type="duplicateValues" dxfId="240" priority="6"/>
  </conditionalFormatting>
  <pageMargins left="0.69930555555555596" right="0.69930555555555596" top="0.75" bottom="0.75" header="0.3" footer="0.3"/>
  <ignoredErrors>
    <ignoredError sqref="A2:B31 G2:H31 G34:H101 A34:B101 A1:H1"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01"/>
  <sheetViews>
    <sheetView topLeftCell="A20" workbookViewId="0">
      <selection activeCell="D33" sqref="D33:F33"/>
    </sheetView>
  </sheetViews>
  <sheetFormatPr defaultColWidth="9" defaultRowHeight="15" x14ac:dyDescent="0.25"/>
  <cols>
    <col min="1" max="1" width="28" customWidth="1"/>
    <col min="2" max="2" width="11" customWidth="1"/>
    <col min="3" max="3" width="9" customWidth="1"/>
    <col min="4" max="4" width="12.58203125" customWidth="1"/>
    <col min="5"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57.256235827664398</v>
      </c>
      <c r="E2" s="5">
        <v>44.429017702186698</v>
      </c>
      <c r="F2" s="5">
        <v>45.683802133850598</v>
      </c>
      <c r="G2" t="s">
        <v>16</v>
      </c>
      <c r="H2" t="s">
        <v>17</v>
      </c>
    </row>
    <row r="3" spans="1:8" x14ac:dyDescent="0.25">
      <c r="A3" t="s">
        <v>18</v>
      </c>
      <c r="B3" t="s">
        <v>14</v>
      </c>
      <c r="C3" t="s">
        <v>15</v>
      </c>
      <c r="D3" s="5">
        <v>8.3168316831683207</v>
      </c>
      <c r="E3" s="5">
        <v>5.546875</v>
      </c>
      <c r="F3" s="5">
        <v>4.8124557678697801</v>
      </c>
      <c r="G3" t="s">
        <v>19</v>
      </c>
      <c r="H3" t="s">
        <v>20</v>
      </c>
    </row>
    <row r="4" spans="1:8" x14ac:dyDescent="0.25">
      <c r="A4" t="s">
        <v>21</v>
      </c>
      <c r="B4" t="s">
        <v>14</v>
      </c>
      <c r="C4" t="s">
        <v>15</v>
      </c>
      <c r="D4" s="5">
        <v>89.504950495049499</v>
      </c>
      <c r="E4" s="5">
        <v>89.140625</v>
      </c>
      <c r="F4" s="5">
        <v>85.704175513092693</v>
      </c>
      <c r="G4" t="s">
        <v>22</v>
      </c>
      <c r="H4" t="s">
        <v>23</v>
      </c>
    </row>
    <row r="5" spans="1:8" x14ac:dyDescent="0.25">
      <c r="A5" t="s">
        <v>24</v>
      </c>
      <c r="B5" t="s">
        <v>14</v>
      </c>
      <c r="C5" t="s">
        <v>15</v>
      </c>
      <c r="D5" s="5">
        <v>95.88</v>
      </c>
      <c r="E5" s="5">
        <v>97.71</v>
      </c>
      <c r="F5" s="5">
        <v>89.3</v>
      </c>
      <c r="G5" t="s">
        <v>25</v>
      </c>
      <c r="H5" t="s">
        <v>26</v>
      </c>
    </row>
    <row r="6" spans="1:8" x14ac:dyDescent="0.25">
      <c r="A6" t="s">
        <v>33</v>
      </c>
      <c r="B6" t="s">
        <v>14</v>
      </c>
      <c r="C6" t="s">
        <v>34</v>
      </c>
      <c r="D6" s="5">
        <v>0</v>
      </c>
      <c r="E6" s="5">
        <v>0</v>
      </c>
      <c r="F6" s="5">
        <v>0</v>
      </c>
      <c r="G6" t="s">
        <v>35</v>
      </c>
      <c r="H6" t="s">
        <v>36</v>
      </c>
    </row>
    <row r="7" spans="1:8" x14ac:dyDescent="0.25">
      <c r="A7" t="s">
        <v>37</v>
      </c>
      <c r="B7" t="s">
        <v>14</v>
      </c>
      <c r="C7" t="s">
        <v>34</v>
      </c>
      <c r="D7" s="5">
        <v>0.32</v>
      </c>
      <c r="E7" s="5">
        <v>0.37</v>
      </c>
      <c r="F7" s="5">
        <v>0.2</v>
      </c>
      <c r="G7" t="s">
        <v>39</v>
      </c>
      <c r="H7" t="s">
        <v>40</v>
      </c>
    </row>
    <row r="8" spans="1:8" x14ac:dyDescent="0.25">
      <c r="A8" t="s">
        <v>41</v>
      </c>
      <c r="B8" t="s">
        <v>14</v>
      </c>
      <c r="C8" t="s">
        <v>10</v>
      </c>
      <c r="D8" s="5"/>
      <c r="E8" s="5"/>
      <c r="F8" s="5"/>
      <c r="G8" t="s">
        <v>39</v>
      </c>
      <c r="H8" t="s">
        <v>44</v>
      </c>
    </row>
    <row r="9" spans="1:8" x14ac:dyDescent="0.25">
      <c r="A9" t="s">
        <v>51</v>
      </c>
      <c r="B9" t="s">
        <v>14</v>
      </c>
      <c r="C9" t="s">
        <v>34</v>
      </c>
      <c r="D9" s="5">
        <v>0</v>
      </c>
      <c r="E9" s="5">
        <v>0</v>
      </c>
      <c r="F9" s="5">
        <v>0</v>
      </c>
      <c r="G9" t="s">
        <v>19</v>
      </c>
      <c r="H9" t="s">
        <v>52</v>
      </c>
    </row>
    <row r="10" spans="1:8" x14ac:dyDescent="0.25">
      <c r="A10" t="s">
        <v>57</v>
      </c>
      <c r="B10" t="s">
        <v>14</v>
      </c>
      <c r="C10" t="s">
        <v>38</v>
      </c>
      <c r="D10" s="5">
        <v>1.63</v>
      </c>
      <c r="E10" s="5">
        <v>1.63</v>
      </c>
      <c r="F10" s="5">
        <v>0.9</v>
      </c>
      <c r="G10" t="s">
        <v>58</v>
      </c>
      <c r="H10" t="s">
        <v>59</v>
      </c>
    </row>
    <row r="11" spans="1:8" x14ac:dyDescent="0.25">
      <c r="A11" t="s">
        <v>63</v>
      </c>
      <c r="B11" t="s">
        <v>64</v>
      </c>
      <c r="C11" t="s">
        <v>61</v>
      </c>
      <c r="D11" s="5">
        <v>35.718692510229403</v>
      </c>
      <c r="E11" s="5">
        <v>38.509554009567402</v>
      </c>
      <c r="F11" s="5">
        <v>33.145719784056901</v>
      </c>
      <c r="G11" t="s">
        <v>35</v>
      </c>
      <c r="H11" t="s">
        <v>65</v>
      </c>
    </row>
    <row r="12" spans="1:8" x14ac:dyDescent="0.25">
      <c r="A12" t="s">
        <v>66</v>
      </c>
      <c r="B12" t="s">
        <v>14</v>
      </c>
      <c r="C12" t="s">
        <v>61</v>
      </c>
      <c r="D12" s="5">
        <v>83.22</v>
      </c>
      <c r="E12" s="5">
        <v>80.97</v>
      </c>
      <c r="F12" s="5">
        <v>72.790000000000006</v>
      </c>
      <c r="G12" t="s">
        <v>39</v>
      </c>
      <c r="H12" t="s">
        <v>67</v>
      </c>
    </row>
    <row r="13" spans="1:8" x14ac:dyDescent="0.25">
      <c r="A13" t="s">
        <v>68</v>
      </c>
      <c r="B13" t="s">
        <v>14</v>
      </c>
      <c r="C13" t="s">
        <v>61</v>
      </c>
      <c r="D13" s="5">
        <v>97.55</v>
      </c>
      <c r="E13" s="5">
        <v>96.96</v>
      </c>
      <c r="F13" s="5">
        <v>94.87</v>
      </c>
      <c r="G13" t="s">
        <v>39</v>
      </c>
      <c r="H13" t="s">
        <v>69</v>
      </c>
    </row>
    <row r="14" spans="1:8" x14ac:dyDescent="0.25">
      <c r="A14" t="s">
        <v>74</v>
      </c>
      <c r="B14" t="s">
        <v>14</v>
      </c>
      <c r="C14" t="s">
        <v>75</v>
      </c>
      <c r="D14" s="46">
        <f>(15295843.6+2398085)/61030488*100</f>
        <v>28.991950056175202</v>
      </c>
      <c r="E14" s="47">
        <f>20544757/59638630*100</f>
        <v>34.448740690388092</v>
      </c>
      <c r="F14" s="46">
        <f>22522726/67539684*100</f>
        <v>33.347396176742549</v>
      </c>
      <c r="G14" t="s">
        <v>35</v>
      </c>
      <c r="H14" t="s">
        <v>76</v>
      </c>
    </row>
    <row r="15" spans="1:8" x14ac:dyDescent="0.25">
      <c r="A15" t="s">
        <v>91</v>
      </c>
      <c r="B15" t="s">
        <v>92</v>
      </c>
      <c r="C15" t="s">
        <v>15</v>
      </c>
      <c r="D15" s="5">
        <v>10.38</v>
      </c>
      <c r="E15" s="5">
        <v>10.23</v>
      </c>
      <c r="F15" s="5">
        <v>10.57</v>
      </c>
      <c r="G15" t="s">
        <v>93</v>
      </c>
      <c r="H15" t="s">
        <v>94</v>
      </c>
    </row>
    <row r="16" spans="1:8" x14ac:dyDescent="0.25">
      <c r="A16" t="s">
        <v>95</v>
      </c>
      <c r="B16" t="s">
        <v>59</v>
      </c>
      <c r="C16" t="s">
        <v>34</v>
      </c>
      <c r="D16" s="5">
        <v>2.15</v>
      </c>
      <c r="E16" s="5">
        <v>1.84</v>
      </c>
      <c r="F16" s="5">
        <v>1.88</v>
      </c>
      <c r="G16" t="s">
        <v>96</v>
      </c>
      <c r="H16" t="s">
        <v>59</v>
      </c>
    </row>
    <row r="17" spans="1:8" x14ac:dyDescent="0.25">
      <c r="A17" t="s">
        <v>97</v>
      </c>
      <c r="B17" t="s">
        <v>98</v>
      </c>
      <c r="C17" t="s">
        <v>34</v>
      </c>
      <c r="D17" s="5">
        <v>85</v>
      </c>
      <c r="E17" s="5">
        <v>94</v>
      </c>
      <c r="F17" s="5">
        <v>91</v>
      </c>
      <c r="G17" t="s">
        <v>99</v>
      </c>
      <c r="H17" t="s">
        <v>59</v>
      </c>
    </row>
    <row r="18" spans="1:8" x14ac:dyDescent="0.25">
      <c r="A18" t="s">
        <v>104</v>
      </c>
      <c r="B18" t="s">
        <v>105</v>
      </c>
      <c r="C18" t="s">
        <v>15</v>
      </c>
      <c r="D18" s="37">
        <v>80</v>
      </c>
      <c r="E18" s="37">
        <v>80</v>
      </c>
      <c r="F18" s="37">
        <v>80</v>
      </c>
      <c r="G18" t="s">
        <v>58</v>
      </c>
      <c r="H18" t="s">
        <v>59</v>
      </c>
    </row>
    <row r="19" spans="1:8" x14ac:dyDescent="0.25">
      <c r="A19" t="s">
        <v>106</v>
      </c>
      <c r="B19" t="s">
        <v>105</v>
      </c>
      <c r="C19" t="s">
        <v>15</v>
      </c>
      <c r="D19" s="37">
        <v>97</v>
      </c>
      <c r="E19" s="37">
        <v>80</v>
      </c>
      <c r="F19" s="37">
        <v>110</v>
      </c>
      <c r="G19" t="s">
        <v>58</v>
      </c>
      <c r="H19" t="s">
        <v>59</v>
      </c>
    </row>
    <row r="20" spans="1:8" x14ac:dyDescent="0.25">
      <c r="A20" t="s">
        <v>107</v>
      </c>
      <c r="B20" t="s">
        <v>14</v>
      </c>
      <c r="C20" t="s">
        <v>15</v>
      </c>
      <c r="D20" s="5">
        <v>83.94</v>
      </c>
      <c r="E20" s="5">
        <v>82.61</v>
      </c>
      <c r="F20" s="5">
        <v>81.92</v>
      </c>
      <c r="G20" t="s">
        <v>58</v>
      </c>
      <c r="H20" t="s">
        <v>108</v>
      </c>
    </row>
    <row r="21" spans="1:8" x14ac:dyDescent="0.25">
      <c r="A21" t="s">
        <v>112</v>
      </c>
      <c r="B21" t="s">
        <v>59</v>
      </c>
      <c r="C21" t="s">
        <v>102</v>
      </c>
      <c r="D21" s="5">
        <f t="shared" ref="D21:F21" si="0">D43/D19</f>
        <v>9.2783505154639179E-2</v>
      </c>
      <c r="E21" s="5">
        <f t="shared" si="0"/>
        <v>0.1125</v>
      </c>
      <c r="F21" s="5">
        <f t="shared" si="0"/>
        <v>7.2727272727272724E-2</v>
      </c>
      <c r="G21" t="s">
        <v>110</v>
      </c>
      <c r="H21" t="s">
        <v>113</v>
      </c>
    </row>
    <row r="22" spans="1:8" x14ac:dyDescent="0.25">
      <c r="A22" t="s">
        <v>114</v>
      </c>
      <c r="B22" t="s">
        <v>59</v>
      </c>
      <c r="C22" t="s">
        <v>102</v>
      </c>
      <c r="D22" s="5">
        <f t="shared" ref="D22:F22" si="1">D44/D19</f>
        <v>0.38144329896907214</v>
      </c>
      <c r="E22" s="5">
        <f t="shared" si="1"/>
        <v>0.5625</v>
      </c>
      <c r="F22" s="5">
        <f t="shared" si="1"/>
        <v>0.40909090909090912</v>
      </c>
      <c r="G22" t="s">
        <v>110</v>
      </c>
      <c r="H22" t="s">
        <v>115</v>
      </c>
    </row>
    <row r="23" spans="1:8" x14ac:dyDescent="0.25">
      <c r="A23" t="s">
        <v>116</v>
      </c>
      <c r="B23" t="s">
        <v>117</v>
      </c>
      <c r="C23" t="s">
        <v>118</v>
      </c>
      <c r="D23" s="5">
        <v>40.349086396226397</v>
      </c>
      <c r="E23" s="5">
        <v>34.834736214285698</v>
      </c>
      <c r="F23" s="5">
        <v>37.713231754386001</v>
      </c>
      <c r="G23" t="s">
        <v>119</v>
      </c>
      <c r="H23" t="s">
        <v>59</v>
      </c>
    </row>
    <row r="24" spans="1:8" x14ac:dyDescent="0.25">
      <c r="A24" t="s">
        <v>120</v>
      </c>
      <c r="B24" t="s">
        <v>117</v>
      </c>
      <c r="C24" t="s">
        <v>118</v>
      </c>
      <c r="D24" s="5">
        <v>69.927296754717005</v>
      </c>
      <c r="E24" s="5">
        <v>65.061470714285704</v>
      </c>
      <c r="F24" s="5">
        <v>66.822794561403498</v>
      </c>
      <c r="G24" t="s">
        <v>121</v>
      </c>
      <c r="H24" t="s">
        <v>59</v>
      </c>
    </row>
    <row r="25" spans="1:8" x14ac:dyDescent="0.25">
      <c r="A25" t="s">
        <v>122</v>
      </c>
      <c r="B25" t="s">
        <v>117</v>
      </c>
      <c r="C25" t="s">
        <v>118</v>
      </c>
      <c r="D25" s="5">
        <v>23.394613051088498</v>
      </c>
      <c r="E25" s="5">
        <v>20.015854996921799</v>
      </c>
      <c r="F25" s="5">
        <v>19.542311000000002</v>
      </c>
      <c r="G25" t="s">
        <v>123</v>
      </c>
      <c r="H25" t="s">
        <v>59</v>
      </c>
    </row>
    <row r="26" spans="1:8" x14ac:dyDescent="0.25">
      <c r="A26" t="s">
        <v>124</v>
      </c>
      <c r="B26" t="s">
        <v>117</v>
      </c>
      <c r="C26" t="s">
        <v>118</v>
      </c>
      <c r="D26" s="5">
        <v>40.544215381249302</v>
      </c>
      <c r="E26" s="5">
        <v>37.383976605786998</v>
      </c>
      <c r="F26" s="5">
        <v>34.6263571818182</v>
      </c>
      <c r="G26" t="s">
        <v>125</v>
      </c>
      <c r="H26" t="s">
        <v>59</v>
      </c>
    </row>
    <row r="27" spans="1:8" x14ac:dyDescent="0.25">
      <c r="A27" t="s">
        <v>126</v>
      </c>
      <c r="B27" t="s">
        <v>127</v>
      </c>
      <c r="C27" t="s">
        <v>118</v>
      </c>
      <c r="D27" s="5">
        <v>8.5257229832572303</v>
      </c>
      <c r="E27" s="5">
        <v>8.97047184170472</v>
      </c>
      <c r="F27" s="5">
        <v>11.2643835616438</v>
      </c>
      <c r="G27" t="s">
        <v>39</v>
      </c>
      <c r="H27" t="s">
        <v>128</v>
      </c>
    </row>
    <row r="28" spans="1:8" x14ac:dyDescent="0.25">
      <c r="A28" t="s">
        <v>129</v>
      </c>
      <c r="B28" t="s">
        <v>14</v>
      </c>
      <c r="C28" t="s">
        <v>118</v>
      </c>
      <c r="D28" s="5">
        <v>31.826414642010398</v>
      </c>
      <c r="E28" s="5">
        <v>30.6522356301675</v>
      </c>
      <c r="F28" s="5">
        <v>30.630896586552399</v>
      </c>
      <c r="G28" t="s">
        <v>130</v>
      </c>
      <c r="H28" t="s">
        <v>131</v>
      </c>
    </row>
    <row r="29" spans="1:8" x14ac:dyDescent="0.25">
      <c r="A29" t="s">
        <v>132</v>
      </c>
      <c r="B29" t="s">
        <v>117</v>
      </c>
      <c r="C29" t="s">
        <v>118</v>
      </c>
      <c r="D29" s="5">
        <v>6719.26638</v>
      </c>
      <c r="E29" s="5">
        <v>6364.1205540000001</v>
      </c>
      <c r="F29" s="5">
        <v>7017.9278100000001</v>
      </c>
      <c r="G29" t="s">
        <v>59</v>
      </c>
      <c r="H29" t="s">
        <v>133</v>
      </c>
    </row>
    <row r="30" spans="1:8" x14ac:dyDescent="0.25">
      <c r="A30" t="s">
        <v>134</v>
      </c>
      <c r="B30" t="s">
        <v>117</v>
      </c>
      <c r="C30" t="s">
        <v>118</v>
      </c>
      <c r="D30" s="5">
        <v>2138.5015790000002</v>
      </c>
      <c r="E30" s="5">
        <v>1950.745228</v>
      </c>
      <c r="F30" s="5">
        <v>2149.6542100000001</v>
      </c>
      <c r="G30" t="s">
        <v>59</v>
      </c>
      <c r="H30" t="s">
        <v>59</v>
      </c>
    </row>
    <row r="31" spans="1:8" x14ac:dyDescent="0.25">
      <c r="A31" t="s">
        <v>135</v>
      </c>
      <c r="B31" t="s">
        <v>117</v>
      </c>
      <c r="C31" t="s">
        <v>118</v>
      </c>
      <c r="D31" s="5">
        <v>3706.1467280000002</v>
      </c>
      <c r="E31" s="5">
        <v>3643.44236</v>
      </c>
      <c r="F31" s="5">
        <v>3808.8992899999998</v>
      </c>
      <c r="G31" t="s">
        <v>59</v>
      </c>
      <c r="H31" t="s">
        <v>136</v>
      </c>
    </row>
    <row r="32" spans="1:8" x14ac:dyDescent="0.25">
      <c r="A32" t="s">
        <v>216</v>
      </c>
      <c r="B32" t="s">
        <v>117</v>
      </c>
      <c r="D32" s="17">
        <v>4511.2</v>
      </c>
      <c r="E32" s="17">
        <v>4025.45</v>
      </c>
      <c r="F32" s="17">
        <v>4499.6099999999997</v>
      </c>
    </row>
    <row r="33" spans="1:8" x14ac:dyDescent="0.25">
      <c r="A33" t="s">
        <v>143</v>
      </c>
      <c r="B33" t="s">
        <v>14</v>
      </c>
      <c r="D33" s="15">
        <v>13.83</v>
      </c>
      <c r="E33" s="15">
        <v>13.38</v>
      </c>
      <c r="F33" s="15">
        <v>11.48</v>
      </c>
    </row>
    <row r="34" spans="1:8" x14ac:dyDescent="0.25">
      <c r="A34" t="s">
        <v>137</v>
      </c>
      <c r="B34" t="s">
        <v>138</v>
      </c>
      <c r="C34" t="s">
        <v>139</v>
      </c>
      <c r="D34" s="5"/>
      <c r="E34" s="5"/>
      <c r="F34" s="5"/>
      <c r="G34" t="s">
        <v>35</v>
      </c>
      <c r="H34" t="s">
        <v>140</v>
      </c>
    </row>
    <row r="35" spans="1:8" x14ac:dyDescent="0.25">
      <c r="A35" t="s">
        <v>217</v>
      </c>
      <c r="B35" t="s">
        <v>14</v>
      </c>
      <c r="C35" t="s">
        <v>118</v>
      </c>
      <c r="D35" s="5">
        <v>9.0991141506135698</v>
      </c>
      <c r="E35" s="5">
        <v>8.3279932317888008</v>
      </c>
      <c r="F35" s="5">
        <v>7.2850811071537702</v>
      </c>
      <c r="G35" t="s">
        <v>22</v>
      </c>
      <c r="H35" t="s">
        <v>218</v>
      </c>
    </row>
    <row r="36" spans="1:8" x14ac:dyDescent="0.25">
      <c r="A36" t="s">
        <v>219</v>
      </c>
      <c r="B36" t="s">
        <v>14</v>
      </c>
      <c r="C36" t="s">
        <v>118</v>
      </c>
      <c r="D36" s="5">
        <v>90.900885849386398</v>
      </c>
      <c r="E36" s="5">
        <v>91.672006768211205</v>
      </c>
      <c r="F36" s="5">
        <v>92.7149188928462</v>
      </c>
      <c r="G36" t="s">
        <v>22</v>
      </c>
      <c r="H36" t="s">
        <v>220</v>
      </c>
    </row>
    <row r="37" spans="1:8" x14ac:dyDescent="0.25">
      <c r="A37" t="s">
        <v>144</v>
      </c>
      <c r="B37" t="s">
        <v>14</v>
      </c>
      <c r="C37" t="s">
        <v>118</v>
      </c>
      <c r="D37" s="5">
        <v>5.5804383808660303</v>
      </c>
      <c r="E37" s="5">
        <v>-9.3162436790582905</v>
      </c>
      <c r="F37" s="5">
        <v>36.8292741527993</v>
      </c>
      <c r="G37" t="s">
        <v>35</v>
      </c>
      <c r="H37" t="s">
        <v>145</v>
      </c>
    </row>
    <row r="38" spans="1:8" x14ac:dyDescent="0.25">
      <c r="A38" t="s">
        <v>146</v>
      </c>
      <c r="B38" t="s">
        <v>14</v>
      </c>
      <c r="C38" t="s">
        <v>118</v>
      </c>
      <c r="D38" s="5">
        <v>5.8087672671419099</v>
      </c>
      <c r="E38" s="5">
        <v>-1.67858877069831</v>
      </c>
      <c r="F38" s="5">
        <v>-59.507960946453601</v>
      </c>
      <c r="G38" t="s">
        <v>35</v>
      </c>
      <c r="H38" t="s">
        <v>147</v>
      </c>
    </row>
    <row r="39" spans="1:8" x14ac:dyDescent="0.25">
      <c r="A39" t="s">
        <v>148</v>
      </c>
      <c r="B39" t="s">
        <v>14</v>
      </c>
      <c r="C39" t="s">
        <v>118</v>
      </c>
      <c r="D39" s="5">
        <v>11.7688101334143</v>
      </c>
      <c r="E39" s="5">
        <v>-3.1372301449506499</v>
      </c>
      <c r="F39" s="5">
        <v>42.223666493897298</v>
      </c>
      <c r="G39" t="s">
        <v>35</v>
      </c>
      <c r="H39" t="s">
        <v>149</v>
      </c>
    </row>
    <row r="40" spans="1:8" x14ac:dyDescent="0.25">
      <c r="A40" t="s">
        <v>150</v>
      </c>
      <c r="B40" t="s">
        <v>14</v>
      </c>
      <c r="C40" t="s">
        <v>118</v>
      </c>
      <c r="D40" s="5">
        <v>16.336403371885499</v>
      </c>
      <c r="E40" s="5">
        <v>-6.9633365906513101</v>
      </c>
      <c r="F40" s="5">
        <v>-55.237156972374002</v>
      </c>
      <c r="G40" t="s">
        <v>35</v>
      </c>
      <c r="H40" t="s">
        <v>151</v>
      </c>
    </row>
    <row r="41" spans="1:8" x14ac:dyDescent="0.25">
      <c r="A41" t="s">
        <v>152</v>
      </c>
      <c r="B41" t="s">
        <v>14</v>
      </c>
      <c r="C41" t="s">
        <v>118</v>
      </c>
      <c r="D41" s="5">
        <v>-10.4925290000867</v>
      </c>
      <c r="E41" s="5">
        <v>-18.749155187984101</v>
      </c>
      <c r="F41" s="5">
        <v>5.8153528719751701</v>
      </c>
      <c r="G41" t="s">
        <v>35</v>
      </c>
      <c r="H41" t="s">
        <v>153</v>
      </c>
    </row>
    <row r="42" spans="1:8" x14ac:dyDescent="0.25">
      <c r="A42" t="s">
        <v>164</v>
      </c>
      <c r="B42" t="s">
        <v>59</v>
      </c>
      <c r="C42" t="s">
        <v>102</v>
      </c>
      <c r="D42" s="5">
        <v>0.24</v>
      </c>
      <c r="E42" s="5">
        <v>0.2</v>
      </c>
      <c r="F42" s="5">
        <v>0.18</v>
      </c>
      <c r="G42" t="s">
        <v>165</v>
      </c>
      <c r="H42" t="s">
        <v>166</v>
      </c>
    </row>
    <row r="43" spans="1:8" x14ac:dyDescent="0.25">
      <c r="A43" t="s">
        <v>167</v>
      </c>
      <c r="B43" t="s">
        <v>101</v>
      </c>
      <c r="C43" t="s">
        <v>102</v>
      </c>
      <c r="D43" s="37">
        <v>9</v>
      </c>
      <c r="E43" s="37">
        <v>9</v>
      </c>
      <c r="F43" s="37">
        <v>8</v>
      </c>
      <c r="G43" t="s">
        <v>168</v>
      </c>
      <c r="H43" t="s">
        <v>59</v>
      </c>
    </row>
    <row r="44" spans="1:8" x14ac:dyDescent="0.25">
      <c r="A44" t="s">
        <v>169</v>
      </c>
      <c r="B44" t="s">
        <v>101</v>
      </c>
      <c r="C44" t="s">
        <v>102</v>
      </c>
      <c r="D44" s="37">
        <v>37</v>
      </c>
      <c r="E44" s="37">
        <v>45</v>
      </c>
      <c r="F44" s="37">
        <v>45</v>
      </c>
      <c r="G44" t="s">
        <v>168</v>
      </c>
      <c r="H44" t="s">
        <v>59</v>
      </c>
    </row>
    <row r="45" spans="1:8" x14ac:dyDescent="0.25">
      <c r="A45" t="s">
        <v>221</v>
      </c>
      <c r="B45" t="s">
        <v>14</v>
      </c>
      <c r="C45" t="s">
        <v>102</v>
      </c>
      <c r="D45" s="5">
        <v>55.56</v>
      </c>
      <c r="E45" s="5">
        <v>55.56</v>
      </c>
      <c r="F45" s="5">
        <v>62.5</v>
      </c>
      <c r="G45" t="s">
        <v>59</v>
      </c>
      <c r="H45" t="s">
        <v>222</v>
      </c>
    </row>
    <row r="46" spans="1:8" x14ac:dyDescent="0.25">
      <c r="A46" t="s">
        <v>223</v>
      </c>
      <c r="B46" t="s">
        <v>14</v>
      </c>
      <c r="C46" t="s">
        <v>102</v>
      </c>
      <c r="D46" s="5">
        <v>22.22</v>
      </c>
      <c r="E46" s="5">
        <v>22.22</v>
      </c>
      <c r="F46" s="5">
        <v>25</v>
      </c>
      <c r="G46" t="s">
        <v>59</v>
      </c>
      <c r="H46" t="s">
        <v>224</v>
      </c>
    </row>
    <row r="47" spans="1:8" x14ac:dyDescent="0.25">
      <c r="A47" t="s">
        <v>225</v>
      </c>
      <c r="B47" t="s">
        <v>14</v>
      </c>
      <c r="C47" t="s">
        <v>102</v>
      </c>
      <c r="D47" s="5">
        <v>55.56</v>
      </c>
      <c r="E47" s="5">
        <v>55.56</v>
      </c>
      <c r="F47" s="5">
        <v>50</v>
      </c>
      <c r="G47" t="s">
        <v>59</v>
      </c>
      <c r="H47" t="s">
        <v>226</v>
      </c>
    </row>
    <row r="48" spans="1:8" x14ac:dyDescent="0.25">
      <c r="A48" t="s">
        <v>188</v>
      </c>
      <c r="B48" t="s">
        <v>59</v>
      </c>
      <c r="C48" t="s">
        <v>176</v>
      </c>
      <c r="D48" s="5">
        <v>0</v>
      </c>
      <c r="E48" s="5">
        <v>0</v>
      </c>
      <c r="F48" s="5">
        <v>0</v>
      </c>
      <c r="G48" t="s">
        <v>186</v>
      </c>
      <c r="H48" t="s">
        <v>189</v>
      </c>
    </row>
    <row r="49" spans="1:8" x14ac:dyDescent="0.25">
      <c r="A49" t="s">
        <v>190</v>
      </c>
      <c r="B49" t="s">
        <v>59</v>
      </c>
      <c r="C49" t="s">
        <v>176</v>
      </c>
      <c r="D49" s="5">
        <v>0</v>
      </c>
      <c r="E49" s="5">
        <v>0</v>
      </c>
      <c r="F49" s="5">
        <v>0</v>
      </c>
      <c r="G49" t="s">
        <v>191</v>
      </c>
      <c r="H49" t="s">
        <v>192</v>
      </c>
    </row>
    <row r="50" spans="1:8" x14ac:dyDescent="0.25">
      <c r="A50" t="s">
        <v>193</v>
      </c>
      <c r="B50" t="s">
        <v>59</v>
      </c>
      <c r="C50" t="s">
        <v>176</v>
      </c>
      <c r="D50" s="5">
        <v>0</v>
      </c>
      <c r="E50" s="5">
        <v>0</v>
      </c>
      <c r="F50" s="5">
        <v>0</v>
      </c>
      <c r="G50" t="s">
        <v>191</v>
      </c>
      <c r="H50" t="s">
        <v>194</v>
      </c>
    </row>
    <row r="51" spans="1:8" x14ac:dyDescent="0.25">
      <c r="A51" t="s">
        <v>195</v>
      </c>
      <c r="B51" t="s">
        <v>196</v>
      </c>
      <c r="C51" t="s">
        <v>176</v>
      </c>
      <c r="D51" s="5">
        <v>565217.39130434801</v>
      </c>
      <c r="E51" s="5">
        <v>0</v>
      </c>
      <c r="F51" s="5">
        <v>0</v>
      </c>
      <c r="G51" t="s">
        <v>39</v>
      </c>
      <c r="H51" t="s">
        <v>197</v>
      </c>
    </row>
    <row r="52" spans="1:8" x14ac:dyDescent="0.25">
      <c r="A52" t="s">
        <v>198</v>
      </c>
      <c r="B52" t="s">
        <v>196</v>
      </c>
      <c r="C52" t="s">
        <v>176</v>
      </c>
      <c r="D52" s="5">
        <v>0</v>
      </c>
      <c r="E52" s="5">
        <v>0</v>
      </c>
      <c r="F52" s="5">
        <v>0</v>
      </c>
      <c r="G52" t="s">
        <v>22</v>
      </c>
      <c r="H52" t="s">
        <v>199</v>
      </c>
    </row>
    <row r="53" spans="1:8" x14ac:dyDescent="0.25">
      <c r="A53" t="s">
        <v>200</v>
      </c>
      <c r="B53" t="s">
        <v>201</v>
      </c>
      <c r="C53" t="s">
        <v>176</v>
      </c>
      <c r="D53" s="5">
        <v>0</v>
      </c>
      <c r="E53" s="5">
        <v>0</v>
      </c>
      <c r="F53" s="5">
        <v>0</v>
      </c>
      <c r="G53" t="s">
        <v>202</v>
      </c>
      <c r="H53" t="s">
        <v>59</v>
      </c>
    </row>
    <row r="54" spans="1:8" x14ac:dyDescent="0.25">
      <c r="A54" t="s">
        <v>203</v>
      </c>
      <c r="B54" t="s">
        <v>204</v>
      </c>
      <c r="C54" t="s">
        <v>176</v>
      </c>
      <c r="D54" s="5">
        <v>0.33300000000000002</v>
      </c>
      <c r="E54" s="5">
        <v>0.66700000000000004</v>
      </c>
      <c r="F54" s="5">
        <v>0.25</v>
      </c>
      <c r="G54" t="s">
        <v>205</v>
      </c>
      <c r="H54" t="s">
        <v>59</v>
      </c>
    </row>
    <row r="55" spans="1:8" x14ac:dyDescent="0.25">
      <c r="A55" t="s">
        <v>206</v>
      </c>
      <c r="B55" t="s">
        <v>207</v>
      </c>
      <c r="C55" t="s">
        <v>176</v>
      </c>
      <c r="D55" s="5">
        <v>0.81100000000000005</v>
      </c>
      <c r="E55" s="5">
        <v>1.7250000000000001</v>
      </c>
      <c r="F55" s="5">
        <v>0.63</v>
      </c>
      <c r="G55" t="s">
        <v>205</v>
      </c>
      <c r="H55" t="s">
        <v>59</v>
      </c>
    </row>
    <row r="56" spans="1:8" x14ac:dyDescent="0.25">
      <c r="A56" t="s">
        <v>208</v>
      </c>
      <c r="B56" t="s">
        <v>14</v>
      </c>
      <c r="C56" t="s">
        <v>176</v>
      </c>
      <c r="D56" s="5">
        <v>0</v>
      </c>
      <c r="E56" s="5">
        <v>0</v>
      </c>
      <c r="F56" s="5">
        <v>0</v>
      </c>
      <c r="G56" t="s">
        <v>59</v>
      </c>
      <c r="H56" t="s">
        <v>209</v>
      </c>
    </row>
    <row r="57" spans="1:8" x14ac:dyDescent="0.25">
      <c r="A57" t="s">
        <v>210</v>
      </c>
      <c r="B57" t="s">
        <v>14</v>
      </c>
      <c r="C57" t="s">
        <v>176</v>
      </c>
      <c r="D57" s="5">
        <v>33.33</v>
      </c>
      <c r="E57" s="5">
        <v>33.33</v>
      </c>
      <c r="F57" s="5">
        <v>12.5</v>
      </c>
      <c r="G57" t="s">
        <v>59</v>
      </c>
      <c r="H57" t="s">
        <v>211</v>
      </c>
    </row>
    <row r="58" spans="1:8" x14ac:dyDescent="0.25">
      <c r="A58" t="s">
        <v>212</v>
      </c>
      <c r="B58" t="s">
        <v>14</v>
      </c>
      <c r="C58" t="s">
        <v>15</v>
      </c>
      <c r="D58" s="9">
        <v>6.4625850340136104</v>
      </c>
      <c r="E58" s="9">
        <v>6.3866712946893403</v>
      </c>
      <c r="F58" s="9">
        <v>8.2767539605560891</v>
      </c>
      <c r="G58" t="s">
        <v>59</v>
      </c>
      <c r="H58" t="s">
        <v>213</v>
      </c>
    </row>
    <row r="59" spans="1:8" x14ac:dyDescent="0.25">
      <c r="A59" t="s">
        <v>214</v>
      </c>
      <c r="B59" t="s">
        <v>14</v>
      </c>
      <c r="C59" t="s">
        <v>15</v>
      </c>
      <c r="D59" s="5">
        <v>0.22675736961451201</v>
      </c>
      <c r="E59" s="5">
        <v>0</v>
      </c>
      <c r="F59" s="5">
        <v>0.19398642095053301</v>
      </c>
      <c r="G59" t="s">
        <v>59</v>
      </c>
      <c r="H59" t="s">
        <v>215</v>
      </c>
    </row>
    <row r="60" spans="1:8" x14ac:dyDescent="0.25">
      <c r="A60" t="s">
        <v>227</v>
      </c>
      <c r="B60" t="s">
        <v>207</v>
      </c>
      <c r="C60" t="s">
        <v>176</v>
      </c>
      <c r="D60" s="5">
        <v>0</v>
      </c>
      <c r="E60" s="5">
        <v>0</v>
      </c>
      <c r="F60" s="5">
        <v>0</v>
      </c>
      <c r="G60" t="s">
        <v>228</v>
      </c>
      <c r="H60" t="s">
        <v>59</v>
      </c>
    </row>
    <row r="61" spans="1:8" x14ac:dyDescent="0.25">
      <c r="A61" t="s">
        <v>229</v>
      </c>
      <c r="B61" t="s">
        <v>207</v>
      </c>
      <c r="C61" t="s">
        <v>176</v>
      </c>
      <c r="D61" s="5">
        <v>0</v>
      </c>
      <c r="E61" s="5">
        <v>0</v>
      </c>
      <c r="F61" s="5">
        <v>0</v>
      </c>
      <c r="G61" t="s">
        <v>228</v>
      </c>
      <c r="H61" t="s">
        <v>59</v>
      </c>
    </row>
    <row r="62" spans="1:8" x14ac:dyDescent="0.25">
      <c r="A62" t="s">
        <v>230</v>
      </c>
      <c r="B62" t="s">
        <v>207</v>
      </c>
      <c r="C62" t="s">
        <v>176</v>
      </c>
      <c r="D62" s="5">
        <v>0</v>
      </c>
      <c r="E62" s="5">
        <v>0</v>
      </c>
      <c r="F62" s="5">
        <v>0</v>
      </c>
      <c r="G62" t="s">
        <v>228</v>
      </c>
      <c r="H62" t="s">
        <v>59</v>
      </c>
    </row>
    <row r="63" spans="1:8" x14ac:dyDescent="0.25">
      <c r="A63" t="s">
        <v>231</v>
      </c>
      <c r="B63" t="s">
        <v>207</v>
      </c>
      <c r="C63" t="s">
        <v>176</v>
      </c>
      <c r="D63" s="5">
        <v>0</v>
      </c>
      <c r="E63" s="5">
        <v>0</v>
      </c>
      <c r="F63" s="5">
        <v>0</v>
      </c>
      <c r="G63" t="s">
        <v>228</v>
      </c>
      <c r="H63" t="s">
        <v>59</v>
      </c>
    </row>
    <row r="64" spans="1:8" x14ac:dyDescent="0.25">
      <c r="A64" t="s">
        <v>232</v>
      </c>
      <c r="B64" t="s">
        <v>207</v>
      </c>
      <c r="C64" t="s">
        <v>176</v>
      </c>
      <c r="D64" s="5">
        <v>0</v>
      </c>
      <c r="E64" s="5">
        <v>0</v>
      </c>
      <c r="F64" s="5">
        <v>0</v>
      </c>
      <c r="G64" t="s">
        <v>228</v>
      </c>
      <c r="H64" t="s">
        <v>59</v>
      </c>
    </row>
    <row r="65" spans="1:8" x14ac:dyDescent="0.25">
      <c r="A65" t="s">
        <v>233</v>
      </c>
      <c r="B65" t="s">
        <v>207</v>
      </c>
      <c r="C65" t="s">
        <v>176</v>
      </c>
      <c r="D65" s="5">
        <v>0</v>
      </c>
      <c r="E65" s="5">
        <v>0</v>
      </c>
      <c r="F65" s="5">
        <v>0</v>
      </c>
      <c r="G65" t="s">
        <v>228</v>
      </c>
      <c r="H65" t="s">
        <v>59</v>
      </c>
    </row>
    <row r="66" spans="1:8" x14ac:dyDescent="0.25">
      <c r="A66" t="s">
        <v>234</v>
      </c>
      <c r="B66" t="s">
        <v>207</v>
      </c>
      <c r="C66" t="s">
        <v>176</v>
      </c>
      <c r="D66" s="5">
        <v>0</v>
      </c>
      <c r="E66" s="5">
        <v>0</v>
      </c>
      <c r="F66" s="5">
        <v>0</v>
      </c>
      <c r="G66" t="s">
        <v>228</v>
      </c>
      <c r="H66" t="s">
        <v>59</v>
      </c>
    </row>
    <row r="67" spans="1:8" x14ac:dyDescent="0.25">
      <c r="A67" t="s">
        <v>235</v>
      </c>
      <c r="B67" t="s">
        <v>207</v>
      </c>
      <c r="C67" t="s">
        <v>176</v>
      </c>
      <c r="D67" s="5">
        <v>1</v>
      </c>
      <c r="E67" s="5">
        <v>1</v>
      </c>
      <c r="F67" s="5">
        <v>1</v>
      </c>
      <c r="G67" t="s">
        <v>228</v>
      </c>
      <c r="H67" t="s">
        <v>59</v>
      </c>
    </row>
    <row r="68" spans="1:8" x14ac:dyDescent="0.25">
      <c r="A68" t="s">
        <v>236</v>
      </c>
      <c r="B68" t="s">
        <v>207</v>
      </c>
      <c r="C68" t="s">
        <v>176</v>
      </c>
      <c r="D68" s="5">
        <v>0</v>
      </c>
      <c r="E68" s="5">
        <v>0</v>
      </c>
      <c r="F68" s="5">
        <v>0</v>
      </c>
      <c r="G68" t="s">
        <v>228</v>
      </c>
      <c r="H68" t="s">
        <v>59</v>
      </c>
    </row>
    <row r="69" spans="1:8" x14ac:dyDescent="0.25">
      <c r="A69" t="s">
        <v>237</v>
      </c>
      <c r="B69" t="s">
        <v>207</v>
      </c>
      <c r="C69" t="s">
        <v>176</v>
      </c>
      <c r="D69" s="5">
        <v>0</v>
      </c>
      <c r="E69" s="5">
        <v>0</v>
      </c>
      <c r="F69" s="5">
        <v>0</v>
      </c>
      <c r="G69" t="s">
        <v>228</v>
      </c>
      <c r="H69" t="s">
        <v>59</v>
      </c>
    </row>
    <row r="70" spans="1:8" x14ac:dyDescent="0.25">
      <c r="A70" t="s">
        <v>238</v>
      </c>
      <c r="B70" t="s">
        <v>207</v>
      </c>
      <c r="C70" t="s">
        <v>176</v>
      </c>
      <c r="D70" s="5">
        <v>0</v>
      </c>
      <c r="E70" s="5">
        <v>0</v>
      </c>
      <c r="F70" s="5">
        <v>0</v>
      </c>
      <c r="G70" t="s">
        <v>228</v>
      </c>
      <c r="H70" t="s">
        <v>59</v>
      </c>
    </row>
    <row r="71" spans="1:8" x14ac:dyDescent="0.25">
      <c r="A71" t="s">
        <v>239</v>
      </c>
      <c r="B71" t="s">
        <v>207</v>
      </c>
      <c r="C71" t="s">
        <v>176</v>
      </c>
      <c r="D71" s="5">
        <v>0</v>
      </c>
      <c r="E71" s="5">
        <v>0</v>
      </c>
      <c r="F71" s="5">
        <v>0</v>
      </c>
      <c r="G71" t="s">
        <v>228</v>
      </c>
      <c r="H71" t="s">
        <v>59</v>
      </c>
    </row>
    <row r="72" spans="1:8" x14ac:dyDescent="0.25">
      <c r="A72" t="s">
        <v>240</v>
      </c>
      <c r="B72" t="s">
        <v>59</v>
      </c>
      <c r="C72" t="s">
        <v>90</v>
      </c>
      <c r="D72" s="10" t="str">
        <f>[1]脊柱外科!$O$4</f>
        <v>腰椎间盘疾患</v>
      </c>
      <c r="E72" s="10" t="str">
        <f>[1]脊柱外科!$I$4</f>
        <v>腰椎间盘疾患</v>
      </c>
      <c r="F72" s="10" t="str">
        <f>[1]脊柱外科!$C$4</f>
        <v>腰椎间盘疾患</v>
      </c>
      <c r="G72" t="s">
        <v>59</v>
      </c>
      <c r="H72" t="s">
        <v>59</v>
      </c>
    </row>
    <row r="73" spans="1:8" x14ac:dyDescent="0.25">
      <c r="A73" t="s">
        <v>241</v>
      </c>
      <c r="B73" t="s">
        <v>59</v>
      </c>
      <c r="C73" t="s">
        <v>90</v>
      </c>
      <c r="D73" s="10" t="str">
        <f>[1]脊柱外科!$N$4</f>
        <v>M51.-</v>
      </c>
      <c r="E73" s="10" t="str">
        <f>[1]脊柱外科!$H$4</f>
        <v>M51.-</v>
      </c>
      <c r="F73" s="10" t="str">
        <f>[1]脊柱外科!$B$4</f>
        <v>M51.-</v>
      </c>
      <c r="G73" t="s">
        <v>59</v>
      </c>
      <c r="H73" t="s">
        <v>59</v>
      </c>
    </row>
    <row r="74" spans="1:8" x14ac:dyDescent="0.25">
      <c r="A74" t="s">
        <v>242</v>
      </c>
      <c r="B74" t="s">
        <v>14</v>
      </c>
      <c r="C74" t="s">
        <v>90</v>
      </c>
      <c r="D74" s="10">
        <f>[1]脊柱外科!$Q$4</f>
        <v>32.5774754346183</v>
      </c>
      <c r="E74" s="10">
        <f>[1]脊柱外科!$K$4</f>
        <v>31.169732731690399</v>
      </c>
      <c r="F74" s="10">
        <f>[1]脊柱外科!$E$4</f>
        <v>41.028128031037802</v>
      </c>
      <c r="G74" t="s">
        <v>59</v>
      </c>
      <c r="H74" t="s">
        <v>59</v>
      </c>
    </row>
    <row r="75" spans="1:8" x14ac:dyDescent="0.25">
      <c r="A75" t="s">
        <v>243</v>
      </c>
      <c r="B75" t="s">
        <v>59</v>
      </c>
      <c r="C75" t="s">
        <v>90</v>
      </c>
      <c r="D75" s="10" t="str">
        <f>[1]脊柱外科!$O$5</f>
        <v>骨质疏松伴有病理性骨折</v>
      </c>
      <c r="E75" s="10" t="str">
        <f>[1]脊柱外科!$I$5</f>
        <v>骨质疏松伴有病理性骨折</v>
      </c>
      <c r="F75" s="10" t="str">
        <f>[1]脊柱外科!$C$5</f>
        <v>骨质疏松伴有病理性骨折</v>
      </c>
      <c r="G75" t="s">
        <v>59</v>
      </c>
      <c r="H75" t="s">
        <v>59</v>
      </c>
    </row>
    <row r="76" spans="1:8" x14ac:dyDescent="0.25">
      <c r="A76" t="s">
        <v>244</v>
      </c>
      <c r="B76" t="s">
        <v>59</v>
      </c>
      <c r="C76" t="s">
        <v>90</v>
      </c>
      <c r="D76" s="10" t="str">
        <f>[1]脊柱外科!$N$5</f>
        <v>M80</v>
      </c>
      <c r="E76" s="10" t="str">
        <f>[1]脊柱外科!$H$5</f>
        <v>M80</v>
      </c>
      <c r="F76" s="10" t="str">
        <f>[1]脊柱外科!$B$5</f>
        <v>M80</v>
      </c>
      <c r="G76" t="s">
        <v>59</v>
      </c>
      <c r="H76" t="s">
        <v>59</v>
      </c>
    </row>
    <row r="77" spans="1:8" x14ac:dyDescent="0.25">
      <c r="A77" t="s">
        <v>245</v>
      </c>
      <c r="B77" t="s">
        <v>14</v>
      </c>
      <c r="C77" t="s">
        <v>90</v>
      </c>
      <c r="D77" s="10">
        <f>[1]脊柱外科!$Q$5</f>
        <v>12.773998488284199</v>
      </c>
      <c r="E77" s="10">
        <f>[1]脊柱外科!$K$5</f>
        <v>11.4890662964249</v>
      </c>
      <c r="F77" s="10">
        <f>[1]脊柱外科!$E$5</f>
        <v>13.2234076947947</v>
      </c>
      <c r="G77" t="s">
        <v>59</v>
      </c>
      <c r="H77" t="s">
        <v>59</v>
      </c>
    </row>
    <row r="78" spans="1:8" x14ac:dyDescent="0.25">
      <c r="A78" t="s">
        <v>246</v>
      </c>
      <c r="B78" t="s">
        <v>59</v>
      </c>
      <c r="C78" t="s">
        <v>90</v>
      </c>
      <c r="D78" s="10" t="str">
        <f>[1]脊柱外科!$O$6</f>
        <v>腰椎骨折</v>
      </c>
      <c r="E78" s="10" t="str">
        <f>[1]脊柱外科!$I$6</f>
        <v>脊椎滑脱</v>
      </c>
      <c r="F78" s="10" t="str">
        <f>[1]脊柱外科!$C$6</f>
        <v>脊椎关节强硬</v>
      </c>
      <c r="G78" t="s">
        <v>59</v>
      </c>
      <c r="H78" t="s">
        <v>59</v>
      </c>
    </row>
    <row r="79" spans="1:8" x14ac:dyDescent="0.25">
      <c r="A79" t="s">
        <v>247</v>
      </c>
      <c r="B79" t="s">
        <v>59</v>
      </c>
      <c r="C79" t="s">
        <v>90</v>
      </c>
      <c r="D79" s="10" t="str">
        <f>[1]脊柱外科!$N$6</f>
        <v>S32.0</v>
      </c>
      <c r="E79" s="10" t="str">
        <f>[1]脊柱外科!$H$6</f>
        <v>M43.0</v>
      </c>
      <c r="F79" s="10" t="str">
        <f>[1]脊柱外科!$B$6</f>
        <v>M47.-</v>
      </c>
      <c r="G79" t="s">
        <v>59</v>
      </c>
      <c r="H79" t="s">
        <v>59</v>
      </c>
    </row>
    <row r="80" spans="1:8" x14ac:dyDescent="0.25">
      <c r="A80" t="s">
        <v>248</v>
      </c>
      <c r="B80" t="s">
        <v>14</v>
      </c>
      <c r="C80" t="s">
        <v>90</v>
      </c>
      <c r="D80" s="10">
        <f>[1]脊柱外科!$Q$6</f>
        <v>7.2562358276644003</v>
      </c>
      <c r="E80" s="10">
        <f>[1]脊柱外科!$K$6</f>
        <v>9.4064560916348494</v>
      </c>
      <c r="F80" s="10">
        <f>[1]脊柱外科!$E$6</f>
        <v>9.8609763983187797</v>
      </c>
      <c r="G80" t="s">
        <v>59</v>
      </c>
      <c r="H80" t="s">
        <v>59</v>
      </c>
    </row>
    <row r="81" spans="1:8" x14ac:dyDescent="0.25">
      <c r="A81" t="s">
        <v>249</v>
      </c>
      <c r="B81" t="s">
        <v>59</v>
      </c>
      <c r="C81" t="s">
        <v>90</v>
      </c>
      <c r="D81" s="10" t="str">
        <f>[1]脊柱外科!$O$7</f>
        <v>脊椎关节强硬</v>
      </c>
      <c r="E81" s="10" t="str">
        <f>[1]脊柱外科!$I$7</f>
        <v>脊椎关节强硬</v>
      </c>
      <c r="F81" s="10" t="str">
        <f>[1]脊柱外科!$C$7</f>
        <v>腰椎骨折</v>
      </c>
      <c r="G81" t="s">
        <v>59</v>
      </c>
      <c r="H81" t="s">
        <v>59</v>
      </c>
    </row>
    <row r="82" spans="1:8" x14ac:dyDescent="0.25">
      <c r="A82" t="s">
        <v>250</v>
      </c>
      <c r="B82" t="s">
        <v>59</v>
      </c>
      <c r="C82" t="s">
        <v>90</v>
      </c>
      <c r="D82" s="10" t="str">
        <f>[1]脊柱外科!$N$7</f>
        <v>M47.-</v>
      </c>
      <c r="E82" s="10" t="str">
        <f>[1]脊柱外科!$H$7</f>
        <v>M47.-</v>
      </c>
      <c r="F82" s="10" t="str">
        <f>[1]脊柱外科!$B$7</f>
        <v>S32.0</v>
      </c>
      <c r="G82" t="s">
        <v>59</v>
      </c>
      <c r="H82" t="s">
        <v>59</v>
      </c>
    </row>
    <row r="83" spans="1:8" x14ac:dyDescent="0.25">
      <c r="A83" t="s">
        <v>251</v>
      </c>
      <c r="B83" t="s">
        <v>14</v>
      </c>
      <c r="C83" t="s">
        <v>90</v>
      </c>
      <c r="D83" s="10">
        <f>[1]脊柱外科!$Q$7</f>
        <v>6.9538926681783799</v>
      </c>
      <c r="E83" s="10">
        <f>[1]脊柱外科!$K$7</f>
        <v>7.9486289482818497</v>
      </c>
      <c r="F83" s="10">
        <f>[1]脊柱外科!$E$7</f>
        <v>4.1383769802780499</v>
      </c>
      <c r="G83" t="s">
        <v>59</v>
      </c>
      <c r="H83" t="s">
        <v>59</v>
      </c>
    </row>
    <row r="84" spans="1:8" x14ac:dyDescent="0.25">
      <c r="A84" t="s">
        <v>252</v>
      </c>
      <c r="B84" t="s">
        <v>59</v>
      </c>
      <c r="C84" t="s">
        <v>90</v>
      </c>
      <c r="D84" s="10" t="str">
        <f>[1]脊柱外科!$O$8</f>
        <v>脊椎滑脱</v>
      </c>
      <c r="E84" s="10" t="str">
        <f>[1]脊柱外科!$I$8</f>
        <v>腰椎骨折</v>
      </c>
      <c r="F84" s="10" t="str">
        <f>[1]脊柱外科!$C$8</f>
        <v>脊椎滑脱</v>
      </c>
      <c r="G84" t="s">
        <v>59</v>
      </c>
      <c r="H84" t="s">
        <v>59</v>
      </c>
    </row>
    <row r="85" spans="1:8" x14ac:dyDescent="0.25">
      <c r="A85" t="s">
        <v>253</v>
      </c>
      <c r="B85" t="s">
        <v>59</v>
      </c>
      <c r="C85" t="s">
        <v>90</v>
      </c>
      <c r="D85" s="10" t="str">
        <f>[1]脊柱外科!$N$8</f>
        <v>M43.0</v>
      </c>
      <c r="E85" s="10" t="str">
        <f>[1]脊柱外科!$H$8</f>
        <v>S32.0</v>
      </c>
      <c r="F85" s="10" t="str">
        <f>[1]脊柱外科!$B$8</f>
        <v>M43.0</v>
      </c>
      <c r="G85" t="s">
        <v>59</v>
      </c>
      <c r="H85" t="s">
        <v>59</v>
      </c>
    </row>
    <row r="86" spans="1:8" x14ac:dyDescent="0.25">
      <c r="A86" t="s">
        <v>254</v>
      </c>
      <c r="B86" t="s">
        <v>14</v>
      </c>
      <c r="C86" t="s">
        <v>90</v>
      </c>
      <c r="D86" s="10">
        <f>[1]脊柱外科!$Q$8</f>
        <v>6.8405139833711299</v>
      </c>
      <c r="E86" s="10">
        <f>[1]脊柱外科!$K$8</f>
        <v>4.4429017702186702</v>
      </c>
      <c r="F86" s="10">
        <f>[1]脊柱外科!$E$8</f>
        <v>3.6534109279017102</v>
      </c>
      <c r="G86" t="s">
        <v>59</v>
      </c>
      <c r="H86" t="s">
        <v>59</v>
      </c>
    </row>
    <row r="87" spans="1:8" x14ac:dyDescent="0.25">
      <c r="A87" t="s">
        <v>255</v>
      </c>
      <c r="B87" t="s">
        <v>59</v>
      </c>
      <c r="C87" t="s">
        <v>90</v>
      </c>
      <c r="D87" s="22" t="str">
        <f>[2]脊柱外科!$O$4</f>
        <v>腰椎间盘切除术(椎间盘髓核切除术)，后路法</v>
      </c>
      <c r="E87" s="22" t="str">
        <f>[2]脊柱外科!$I$4</f>
        <v>腰椎间盘切除术(椎间盘髓核切除术)，后路法</v>
      </c>
      <c r="F87" s="22" t="str">
        <f>[2]脊柱外科!$C$4</f>
        <v>腰椎间盘切除术(椎间盘髓核切除术)，后路法</v>
      </c>
      <c r="G87" t="s">
        <v>59</v>
      </c>
      <c r="H87" t="s">
        <v>59</v>
      </c>
    </row>
    <row r="88" spans="1:8" x14ac:dyDescent="0.25">
      <c r="A88" t="s">
        <v>256</v>
      </c>
      <c r="B88" t="s">
        <v>59</v>
      </c>
      <c r="C88" t="s">
        <v>90</v>
      </c>
      <c r="D88" s="23" t="str">
        <f>[2]脊柱外科!$N$4</f>
        <v>80.5</v>
      </c>
      <c r="E88" s="23" t="str">
        <f>[2]脊柱外科!$H$4</f>
        <v>80.5</v>
      </c>
      <c r="F88" s="23" t="str">
        <f>[2]脊柱外科!$B$4</f>
        <v>80.5</v>
      </c>
      <c r="G88" t="s">
        <v>59</v>
      </c>
      <c r="H88" t="s">
        <v>59</v>
      </c>
    </row>
    <row r="89" spans="1:8" x14ac:dyDescent="0.25">
      <c r="A89" t="s">
        <v>257</v>
      </c>
      <c r="B89" t="s">
        <v>14</v>
      </c>
      <c r="C89" t="s">
        <v>90</v>
      </c>
      <c r="D89" s="24">
        <f>[2]脊柱外科!$Q$4</f>
        <v>45.742574257425701</v>
      </c>
      <c r="E89" s="24">
        <f>[2]脊柱外科!$K$4</f>
        <v>49.609375</v>
      </c>
      <c r="F89" s="24">
        <f>[2]脊柱外科!$E$4</f>
        <v>48.478414720452903</v>
      </c>
      <c r="G89" t="s">
        <v>59</v>
      </c>
      <c r="H89" t="s">
        <v>59</v>
      </c>
    </row>
    <row r="90" spans="1:8" x14ac:dyDescent="0.25">
      <c r="A90" t="s">
        <v>258</v>
      </c>
      <c r="B90" t="s">
        <v>59</v>
      </c>
      <c r="C90" t="s">
        <v>90</v>
      </c>
      <c r="D90" s="25" t="str">
        <f>[2]脊柱外科!$O$5</f>
        <v>腰胸椎骨成形术(PVP)</v>
      </c>
      <c r="E90" s="25" t="str">
        <f>[2]脊柱外科!$I$5</f>
        <v>腰胸椎骨成形术(PVP)</v>
      </c>
      <c r="F90" s="25" t="str">
        <f>[2]脊柱外科!$C$5</f>
        <v>腰胸椎骨成形术(PVP)</v>
      </c>
      <c r="G90" t="s">
        <v>59</v>
      </c>
      <c r="H90" t="s">
        <v>59</v>
      </c>
    </row>
    <row r="91" spans="1:8" x14ac:dyDescent="0.25">
      <c r="A91" t="s">
        <v>259</v>
      </c>
      <c r="B91" t="s">
        <v>59</v>
      </c>
      <c r="C91" t="s">
        <v>90</v>
      </c>
      <c r="D91" s="26" t="str">
        <f>[2]脊柱外科!$N$5</f>
        <v>81.6</v>
      </c>
      <c r="E91" s="26" t="str">
        <f>[2]脊柱外科!$H$5</f>
        <v>81.6</v>
      </c>
      <c r="F91" s="26" t="str">
        <f>[2]脊柱外科!$B$5</f>
        <v>81.6</v>
      </c>
      <c r="G91" t="s">
        <v>59</v>
      </c>
      <c r="H91" t="s">
        <v>59</v>
      </c>
    </row>
    <row r="92" spans="1:8" x14ac:dyDescent="0.25">
      <c r="A92" t="s">
        <v>260</v>
      </c>
      <c r="B92" t="s">
        <v>14</v>
      </c>
      <c r="C92" t="s">
        <v>90</v>
      </c>
      <c r="D92" s="24">
        <f>[2]脊柱外科!$Q$5</f>
        <v>25.214521452145199</v>
      </c>
      <c r="E92" s="24">
        <f>[2]脊柱外科!$K$5</f>
        <v>21.953125</v>
      </c>
      <c r="F92" s="24">
        <f>[2]脊柱外科!$E$5</f>
        <v>16.418966737438101</v>
      </c>
      <c r="G92" t="s">
        <v>59</v>
      </c>
      <c r="H92" t="s">
        <v>59</v>
      </c>
    </row>
    <row r="93" spans="1:8" x14ac:dyDescent="0.25">
      <c r="A93" t="s">
        <v>261</v>
      </c>
      <c r="B93" t="s">
        <v>59</v>
      </c>
      <c r="C93" t="s">
        <v>90</v>
      </c>
      <c r="D93" s="27" t="str">
        <f>[2]脊柱外科!$O$6</f>
        <v>脊椎骨折复位术</v>
      </c>
      <c r="E93" s="27" t="str">
        <f>[2]脊柱外科!$I$6</f>
        <v>脊椎骨折复位术</v>
      </c>
      <c r="F93" s="27" t="str">
        <f>[2]脊柱外科!$C$6</f>
        <v>脊椎骨折复位术</v>
      </c>
      <c r="G93" t="s">
        <v>59</v>
      </c>
      <c r="H93" t="s">
        <v>59</v>
      </c>
    </row>
    <row r="94" spans="1:8" x14ac:dyDescent="0.25">
      <c r="A94" t="s">
        <v>262</v>
      </c>
      <c r="B94" t="s">
        <v>59</v>
      </c>
      <c r="C94" t="s">
        <v>90</v>
      </c>
      <c r="D94" s="28" t="str">
        <f>[2]脊柱外科!$N$6</f>
        <v>03.53</v>
      </c>
      <c r="E94" s="28" t="str">
        <f>[2]脊柱外科!$H$6</f>
        <v>03.53</v>
      </c>
      <c r="F94" s="28" t="str">
        <f>[2]脊柱外科!$B$6</f>
        <v>03.53</v>
      </c>
      <c r="G94" t="s">
        <v>59</v>
      </c>
      <c r="H94" t="s">
        <v>59</v>
      </c>
    </row>
    <row r="95" spans="1:8" x14ac:dyDescent="0.25">
      <c r="A95" t="s">
        <v>263</v>
      </c>
      <c r="B95" t="s">
        <v>14</v>
      </c>
      <c r="C95" t="s">
        <v>90</v>
      </c>
      <c r="D95" s="24">
        <f>[2]脊柱外科!$Q$6</f>
        <v>8.8448844884488391</v>
      </c>
      <c r="E95" s="24">
        <f>[2]脊柱外科!$K$6</f>
        <v>9.6875</v>
      </c>
      <c r="F95" s="24">
        <f>[2]脊柱外科!$E$6</f>
        <v>14.083510261854199</v>
      </c>
      <c r="G95" t="s">
        <v>59</v>
      </c>
      <c r="H95" t="s">
        <v>59</v>
      </c>
    </row>
    <row r="96" spans="1:8" x14ac:dyDescent="0.25">
      <c r="A96" t="s">
        <v>264</v>
      </c>
      <c r="B96" t="s">
        <v>59</v>
      </c>
      <c r="C96" t="s">
        <v>90</v>
      </c>
      <c r="D96" s="24" t="str">
        <f>[2]脊柱外科!$O$7</f>
        <v>脊柱内固定装置去除术</v>
      </c>
      <c r="E96" s="24" t="str">
        <f>[2]脊柱外科!$I$7</f>
        <v>脊柱内固定装置去除术</v>
      </c>
      <c r="F96" s="24" t="str">
        <f>[2]脊柱外科!$C$7</f>
        <v>脊柱韧带松解术</v>
      </c>
      <c r="G96" t="s">
        <v>59</v>
      </c>
      <c r="H96" t="s">
        <v>59</v>
      </c>
    </row>
    <row r="97" spans="1:8" x14ac:dyDescent="0.25">
      <c r="A97" t="s">
        <v>265</v>
      </c>
      <c r="B97" t="s">
        <v>59</v>
      </c>
      <c r="C97" t="s">
        <v>90</v>
      </c>
      <c r="D97" s="25" t="str">
        <f>[2]脊柱外科!$N$7</f>
        <v>78.6</v>
      </c>
      <c r="E97" s="25" t="str">
        <f>[2]脊柱外科!$H$7</f>
        <v>78.6</v>
      </c>
      <c r="F97" s="25" t="str">
        <f>[2]脊柱外科!$B$7</f>
        <v>80.4</v>
      </c>
      <c r="G97" t="s">
        <v>59</v>
      </c>
      <c r="H97" t="s">
        <v>59</v>
      </c>
    </row>
    <row r="98" spans="1:8" x14ac:dyDescent="0.25">
      <c r="A98" t="s">
        <v>266</v>
      </c>
      <c r="B98" t="s">
        <v>14</v>
      </c>
      <c r="C98" t="s">
        <v>90</v>
      </c>
      <c r="D98" s="26">
        <f>[2]脊柱外科!$Q$7</f>
        <v>7.1947194719471899</v>
      </c>
      <c r="E98" s="26">
        <f>[2]脊柱外科!$K$7</f>
        <v>6.40625</v>
      </c>
      <c r="F98" s="26">
        <f>[2]脊柱外科!$E$7</f>
        <v>6.7232837933474903</v>
      </c>
      <c r="G98" t="s">
        <v>59</v>
      </c>
      <c r="H98" t="s">
        <v>59</v>
      </c>
    </row>
    <row r="99" spans="1:8" x14ac:dyDescent="0.25">
      <c r="A99" t="s">
        <v>267</v>
      </c>
      <c r="B99" t="s">
        <v>59</v>
      </c>
      <c r="C99" t="s">
        <v>90</v>
      </c>
      <c r="D99" s="24" t="str">
        <f>[2]脊柱外科!$O$8</f>
        <v>腰颈椎脱位切开复位内固定术</v>
      </c>
      <c r="E99" s="24" t="str">
        <f>[2]脊柱外科!$I$8</f>
        <v>颈椎单开门式椎板成形术，后路法</v>
      </c>
      <c r="F99" s="24" t="str">
        <f>[2]脊柱外科!$C$8</f>
        <v>脊柱内固定装置去除术</v>
      </c>
      <c r="G99" t="s">
        <v>59</v>
      </c>
      <c r="H99" t="s">
        <v>59</v>
      </c>
    </row>
    <row r="100" spans="1:8" x14ac:dyDescent="0.25">
      <c r="A100" t="s">
        <v>268</v>
      </c>
      <c r="B100" t="s">
        <v>59</v>
      </c>
      <c r="C100" t="s">
        <v>90</v>
      </c>
      <c r="D100" s="10" t="str">
        <f>[2]脊柱外科!$N$8</f>
        <v>79.8</v>
      </c>
      <c r="E100" s="10" t="str">
        <f>[2]脊柱外科!$H$8</f>
        <v>03.09</v>
      </c>
      <c r="F100" s="10" t="str">
        <f>[2]脊柱外科!$B$8</f>
        <v>78.6</v>
      </c>
      <c r="G100" t="s">
        <v>59</v>
      </c>
      <c r="H100" t="s">
        <v>59</v>
      </c>
    </row>
    <row r="101" spans="1:8" x14ac:dyDescent="0.25">
      <c r="A101" t="s">
        <v>269</v>
      </c>
      <c r="B101" t="s">
        <v>14</v>
      </c>
      <c r="C101" t="s">
        <v>90</v>
      </c>
      <c r="D101" s="10">
        <f>[2]脊柱外科!$Q$8</f>
        <v>4.8184818481848204</v>
      </c>
      <c r="E101" s="10">
        <f>[2]脊柱外科!$K$8</f>
        <v>3.59375</v>
      </c>
      <c r="F101" s="10">
        <f>[2]脊柱外科!$E$8</f>
        <v>3.9631988676574701</v>
      </c>
      <c r="G101" t="s">
        <v>59</v>
      </c>
      <c r="H101" t="s">
        <v>59</v>
      </c>
    </row>
  </sheetData>
  <phoneticPr fontId="10" type="noConversion"/>
  <conditionalFormatting sqref="D88">
    <cfRule type="duplicateValues" dxfId="239" priority="12"/>
  </conditionalFormatting>
  <conditionalFormatting sqref="E88">
    <cfRule type="duplicateValues" dxfId="238" priority="4"/>
  </conditionalFormatting>
  <conditionalFormatting sqref="F88">
    <cfRule type="duplicateValues" dxfId="237" priority="8"/>
  </conditionalFormatting>
  <conditionalFormatting sqref="D91">
    <cfRule type="duplicateValues" dxfId="236" priority="11"/>
  </conditionalFormatting>
  <conditionalFormatting sqref="E91">
    <cfRule type="duplicateValues" dxfId="235" priority="3"/>
  </conditionalFormatting>
  <conditionalFormatting sqref="F91">
    <cfRule type="duplicateValues" dxfId="234" priority="7"/>
  </conditionalFormatting>
  <conditionalFormatting sqref="D94">
    <cfRule type="duplicateValues" dxfId="233" priority="9"/>
  </conditionalFormatting>
  <conditionalFormatting sqref="E94">
    <cfRule type="duplicateValues" dxfId="232" priority="1"/>
  </conditionalFormatting>
  <conditionalFormatting sqref="F94">
    <cfRule type="duplicateValues" dxfId="231" priority="5"/>
  </conditionalFormatting>
  <conditionalFormatting sqref="D98">
    <cfRule type="duplicateValues" dxfId="230" priority="10"/>
  </conditionalFormatting>
  <conditionalFormatting sqref="E98">
    <cfRule type="duplicateValues" dxfId="229" priority="2"/>
  </conditionalFormatting>
  <conditionalFormatting sqref="F98">
    <cfRule type="duplicateValues" dxfId="228" priority="6"/>
  </conditionalFormatting>
  <pageMargins left="0.69930555555555596" right="0.69930555555555596" top="0.75" bottom="0.75" header="0.3" footer="0.3"/>
  <ignoredErrors>
    <ignoredError sqref="A2:B31 G2:H31 G34:H101 A34:B101 A1:H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43">
        <v>84.929757343550406</v>
      </c>
      <c r="E2" s="43">
        <v>76.529821843532105</v>
      </c>
      <c r="F2" s="43">
        <v>76.154618473895596</v>
      </c>
      <c r="G2" t="s">
        <v>16</v>
      </c>
      <c r="H2" t="s">
        <v>17</v>
      </c>
    </row>
    <row r="3" spans="1:8" x14ac:dyDescent="0.25">
      <c r="A3" t="s">
        <v>18</v>
      </c>
      <c r="B3" t="s">
        <v>14</v>
      </c>
      <c r="C3" t="s">
        <v>15</v>
      </c>
      <c r="D3" s="43">
        <v>1.4736842105263199</v>
      </c>
      <c r="E3" s="43">
        <v>0.60728744939271295</v>
      </c>
      <c r="F3" s="43">
        <v>0.92287409360580097</v>
      </c>
      <c r="G3" t="s">
        <v>19</v>
      </c>
      <c r="H3" t="s">
        <v>20</v>
      </c>
    </row>
    <row r="4" spans="1:8" x14ac:dyDescent="0.25">
      <c r="A4" t="s">
        <v>21</v>
      </c>
      <c r="B4" t="s">
        <v>14</v>
      </c>
      <c r="C4" t="s">
        <v>15</v>
      </c>
      <c r="D4" s="43">
        <v>5.2330827067669201</v>
      </c>
      <c r="E4" s="43">
        <v>1.0458839406207801</v>
      </c>
      <c r="F4" s="43">
        <v>1.35135135135135</v>
      </c>
      <c r="G4" t="s">
        <v>22</v>
      </c>
      <c r="H4" t="s">
        <v>23</v>
      </c>
    </row>
    <row r="5" spans="1:8" x14ac:dyDescent="0.25">
      <c r="A5" t="s">
        <v>24</v>
      </c>
      <c r="B5" t="s">
        <v>14</v>
      </c>
      <c r="C5" t="s">
        <v>15</v>
      </c>
      <c r="D5">
        <v>94.89</v>
      </c>
      <c r="E5">
        <v>75.83</v>
      </c>
      <c r="F5">
        <v>69.8</v>
      </c>
      <c r="G5" t="s">
        <v>25</v>
      </c>
      <c r="H5" t="s">
        <v>26</v>
      </c>
    </row>
    <row r="6" spans="1:8" x14ac:dyDescent="0.25">
      <c r="A6" t="s">
        <v>33</v>
      </c>
      <c r="B6" t="s">
        <v>14</v>
      </c>
      <c r="C6" t="s">
        <v>34</v>
      </c>
      <c r="D6">
        <v>0</v>
      </c>
      <c r="E6">
        <v>0</v>
      </c>
      <c r="F6">
        <v>0</v>
      </c>
      <c r="G6" t="s">
        <v>35</v>
      </c>
      <c r="H6" t="s">
        <v>36</v>
      </c>
    </row>
    <row r="7" spans="1:8" x14ac:dyDescent="0.25">
      <c r="A7" t="s">
        <v>37</v>
      </c>
      <c r="B7" t="s">
        <v>14</v>
      </c>
      <c r="C7" t="s">
        <v>34</v>
      </c>
      <c r="D7">
        <v>0.2</v>
      </c>
      <c r="E7">
        <v>0.05</v>
      </c>
      <c r="F7">
        <v>0.28999999999999998</v>
      </c>
      <c r="G7" t="s">
        <v>39</v>
      </c>
      <c r="H7" t="s">
        <v>40</v>
      </c>
    </row>
    <row r="8" spans="1:8" x14ac:dyDescent="0.25">
      <c r="A8" t="s">
        <v>41</v>
      </c>
      <c r="B8" t="s">
        <v>14</v>
      </c>
      <c r="C8" t="s">
        <v>10</v>
      </c>
      <c r="G8" t="s">
        <v>39</v>
      </c>
      <c r="H8" t="s">
        <v>44</v>
      </c>
    </row>
    <row r="9" spans="1:8" x14ac:dyDescent="0.25">
      <c r="A9" t="s">
        <v>51</v>
      </c>
      <c r="B9" t="s">
        <v>14</v>
      </c>
      <c r="C9" t="s">
        <v>34</v>
      </c>
      <c r="D9">
        <v>0</v>
      </c>
      <c r="E9">
        <v>0</v>
      </c>
      <c r="F9">
        <v>0</v>
      </c>
      <c r="G9" t="s">
        <v>19</v>
      </c>
      <c r="H9" t="s">
        <v>52</v>
      </c>
    </row>
    <row r="10" spans="1:8" x14ac:dyDescent="0.25">
      <c r="A10" t="s">
        <v>57</v>
      </c>
      <c r="B10" t="s">
        <v>14</v>
      </c>
      <c r="C10" t="s">
        <v>38</v>
      </c>
      <c r="D10">
        <v>0.87</v>
      </c>
      <c r="E10">
        <v>0.67</v>
      </c>
      <c r="F10">
        <v>0.9</v>
      </c>
      <c r="G10" t="s">
        <v>58</v>
      </c>
      <c r="H10" t="s">
        <v>59</v>
      </c>
    </row>
    <row r="11" spans="1:8" x14ac:dyDescent="0.25">
      <c r="A11" t="s">
        <v>63</v>
      </c>
      <c r="B11" t="s">
        <v>64</v>
      </c>
      <c r="C11" t="s">
        <v>61</v>
      </c>
      <c r="D11">
        <v>68.260528079115403</v>
      </c>
      <c r="E11">
        <v>70.134052618982906</v>
      </c>
      <c r="F11">
        <v>70.253390480381796</v>
      </c>
      <c r="G11" t="s">
        <v>35</v>
      </c>
      <c r="H11" t="s">
        <v>65</v>
      </c>
    </row>
    <row r="12" spans="1:8" x14ac:dyDescent="0.25">
      <c r="A12" t="s">
        <v>66</v>
      </c>
      <c r="B12" t="s">
        <v>14</v>
      </c>
      <c r="C12" t="s">
        <v>61</v>
      </c>
      <c r="D12">
        <v>78.87</v>
      </c>
      <c r="E12">
        <v>72.16</v>
      </c>
      <c r="F12">
        <v>68.790000000000006</v>
      </c>
      <c r="G12" t="s">
        <v>39</v>
      </c>
      <c r="H12" t="s">
        <v>67</v>
      </c>
    </row>
    <row r="13" spans="1:8" x14ac:dyDescent="0.25">
      <c r="A13" t="s">
        <v>68</v>
      </c>
      <c r="B13" t="s">
        <v>14</v>
      </c>
      <c r="C13" t="s">
        <v>61</v>
      </c>
      <c r="D13">
        <v>98.6</v>
      </c>
      <c r="E13">
        <v>96.79</v>
      </c>
      <c r="F13">
        <v>95.8</v>
      </c>
      <c r="G13" t="s">
        <v>39</v>
      </c>
      <c r="H13" t="s">
        <v>69</v>
      </c>
    </row>
    <row r="14" spans="1:8" x14ac:dyDescent="0.25">
      <c r="A14" t="s">
        <v>74</v>
      </c>
      <c r="B14" t="s">
        <v>14</v>
      </c>
      <c r="C14" t="s">
        <v>75</v>
      </c>
      <c r="D14" s="18">
        <f>(10462203+1179040)/52314296*100</f>
        <v>22.252508186290036</v>
      </c>
      <c r="E14" s="18">
        <f>9599104/52373450*100</f>
        <v>18.32818727809606</v>
      </c>
      <c r="F14" s="18">
        <f>5321361/56858658*100</f>
        <v>9.3589282392138067</v>
      </c>
      <c r="G14" t="s">
        <v>35</v>
      </c>
      <c r="H14" t="s">
        <v>76</v>
      </c>
    </row>
    <row r="15" spans="1:8" x14ac:dyDescent="0.25">
      <c r="A15" t="s">
        <v>91</v>
      </c>
      <c r="B15" t="s">
        <v>92</v>
      </c>
      <c r="C15" t="s">
        <v>15</v>
      </c>
      <c r="D15">
        <v>10.25</v>
      </c>
      <c r="E15">
        <v>9.9499999999999993</v>
      </c>
      <c r="F15">
        <v>11.55</v>
      </c>
      <c r="G15" t="s">
        <v>93</v>
      </c>
      <c r="H15" t="s">
        <v>94</v>
      </c>
    </row>
    <row r="16" spans="1:8" x14ac:dyDescent="0.25">
      <c r="A16" t="s">
        <v>95</v>
      </c>
      <c r="B16" t="s">
        <v>59</v>
      </c>
      <c r="C16" t="s">
        <v>34</v>
      </c>
      <c r="D16">
        <v>1.58</v>
      </c>
      <c r="E16">
        <v>1.4</v>
      </c>
      <c r="F16">
        <v>1.49</v>
      </c>
      <c r="G16" t="s">
        <v>96</v>
      </c>
      <c r="H16" t="s">
        <v>59</v>
      </c>
    </row>
    <row r="17" spans="1:8" x14ac:dyDescent="0.25">
      <c r="A17" t="s">
        <v>97</v>
      </c>
      <c r="B17" t="s">
        <v>98</v>
      </c>
      <c r="C17" t="s">
        <v>34</v>
      </c>
      <c r="D17">
        <v>133</v>
      </c>
      <c r="E17">
        <v>146</v>
      </c>
      <c r="F17">
        <v>149</v>
      </c>
      <c r="G17" t="s">
        <v>99</v>
      </c>
      <c r="H17" t="s">
        <v>59</v>
      </c>
    </row>
    <row r="18" spans="1:8" x14ac:dyDescent="0.25">
      <c r="A18" t="s">
        <v>104</v>
      </c>
      <c r="B18" t="s">
        <v>105</v>
      </c>
      <c r="C18" t="s">
        <v>15</v>
      </c>
      <c r="D18">
        <v>94</v>
      </c>
      <c r="E18">
        <v>94</v>
      </c>
      <c r="F18">
        <v>94</v>
      </c>
      <c r="G18" t="s">
        <v>58</v>
      </c>
      <c r="H18" t="s">
        <v>59</v>
      </c>
    </row>
    <row r="19" spans="1:8" x14ac:dyDescent="0.25">
      <c r="A19" t="s">
        <v>106</v>
      </c>
      <c r="B19" t="s">
        <v>105</v>
      </c>
      <c r="C19" t="s">
        <v>15</v>
      </c>
      <c r="D19" s="44">
        <v>103</v>
      </c>
      <c r="E19" s="44">
        <v>94</v>
      </c>
      <c r="F19" s="44">
        <v>110</v>
      </c>
      <c r="G19" t="s">
        <v>58</v>
      </c>
      <c r="H19" t="s">
        <v>59</v>
      </c>
    </row>
    <row r="20" spans="1:8" x14ac:dyDescent="0.25">
      <c r="A20" t="s">
        <v>107</v>
      </c>
      <c r="B20" t="s">
        <v>14</v>
      </c>
      <c r="C20" t="s">
        <v>15</v>
      </c>
      <c r="D20">
        <v>105.7</v>
      </c>
      <c r="E20">
        <v>100.85</v>
      </c>
      <c r="F20">
        <v>111.25</v>
      </c>
      <c r="G20" t="s">
        <v>58</v>
      </c>
      <c r="H20" t="s">
        <v>108</v>
      </c>
    </row>
    <row r="21" spans="1:8" x14ac:dyDescent="0.25">
      <c r="A21" t="s">
        <v>112</v>
      </c>
      <c r="B21" t="s">
        <v>59</v>
      </c>
      <c r="C21" t="s">
        <v>102</v>
      </c>
      <c r="D21" s="5">
        <f t="shared" ref="D21:F21" si="0">D43/D19</f>
        <v>0.1553398058252427</v>
      </c>
      <c r="E21" s="5">
        <f t="shared" si="0"/>
        <v>0.18085106382978725</v>
      </c>
      <c r="F21" s="5">
        <f t="shared" si="0"/>
        <v>0.13636363636363635</v>
      </c>
      <c r="G21" t="s">
        <v>110</v>
      </c>
      <c r="H21" t="s">
        <v>113</v>
      </c>
    </row>
    <row r="22" spans="1:8" x14ac:dyDescent="0.25">
      <c r="A22" t="s">
        <v>114</v>
      </c>
      <c r="B22" t="s">
        <v>59</v>
      </c>
      <c r="C22" t="s">
        <v>102</v>
      </c>
      <c r="D22" s="5">
        <f t="shared" ref="D22:F22" si="1">D44/D19</f>
        <v>0.47572815533980584</v>
      </c>
      <c r="E22" s="5">
        <f t="shared" si="1"/>
        <v>0.54255319148936165</v>
      </c>
      <c r="F22" s="5">
        <f t="shared" si="1"/>
        <v>0.45454545454545453</v>
      </c>
      <c r="G22" t="s">
        <v>110</v>
      </c>
      <c r="H22" t="s">
        <v>115</v>
      </c>
    </row>
    <row r="23" spans="1:8" x14ac:dyDescent="0.25">
      <c r="A23" t="s">
        <v>116</v>
      </c>
      <c r="B23" t="s">
        <v>117</v>
      </c>
      <c r="C23" t="s">
        <v>118</v>
      </c>
      <c r="D23" s="43">
        <v>31.482535500000001</v>
      </c>
      <c r="E23" s="43">
        <v>31.300810439393899</v>
      </c>
      <c r="F23" s="43">
        <v>31.3760358</v>
      </c>
      <c r="G23" t="s">
        <v>119</v>
      </c>
      <c r="H23" t="s">
        <v>59</v>
      </c>
    </row>
    <row r="24" spans="1:8" x14ac:dyDescent="0.25">
      <c r="A24" t="s">
        <v>120</v>
      </c>
      <c r="B24" t="s">
        <v>117</v>
      </c>
      <c r="C24" t="s">
        <v>118</v>
      </c>
      <c r="D24" s="43">
        <v>50.790220750000003</v>
      </c>
      <c r="E24" s="43">
        <v>51.6120461969697</v>
      </c>
      <c r="F24" s="43">
        <v>49.728532442857102</v>
      </c>
      <c r="G24" t="s">
        <v>121</v>
      </c>
      <c r="H24" t="s">
        <v>59</v>
      </c>
    </row>
    <row r="25" spans="1:8" x14ac:dyDescent="0.25">
      <c r="A25" t="s">
        <v>122</v>
      </c>
      <c r="B25" t="s">
        <v>117</v>
      </c>
      <c r="C25" t="s">
        <v>118</v>
      </c>
      <c r="D25" s="43">
        <v>21.399564314274301</v>
      </c>
      <c r="E25" s="43">
        <v>19.996645910366901</v>
      </c>
      <c r="F25" s="43">
        <v>19.966568236363599</v>
      </c>
      <c r="G25" t="s">
        <v>123</v>
      </c>
      <c r="H25" t="s">
        <v>59</v>
      </c>
    </row>
    <row r="26" spans="1:8" x14ac:dyDescent="0.25">
      <c r="A26" t="s">
        <v>124</v>
      </c>
      <c r="B26" t="s">
        <v>117</v>
      </c>
      <c r="C26" t="s">
        <v>118</v>
      </c>
      <c r="D26" s="43">
        <v>34.523540693722502</v>
      </c>
      <c r="E26" s="43">
        <v>32.972558793921202</v>
      </c>
      <c r="F26" s="43">
        <v>31.645429736363599</v>
      </c>
      <c r="G26" t="s">
        <v>125</v>
      </c>
      <c r="H26" t="s">
        <v>59</v>
      </c>
    </row>
    <row r="27" spans="1:8" x14ac:dyDescent="0.25">
      <c r="A27" t="s">
        <v>126</v>
      </c>
      <c r="B27" t="s">
        <v>127</v>
      </c>
      <c r="C27" t="s">
        <v>118</v>
      </c>
      <c r="D27" s="43">
        <v>6.6077054794520604</v>
      </c>
      <c r="E27" s="43">
        <v>6.14552780016116</v>
      </c>
      <c r="F27" s="43">
        <v>8.15799086757991</v>
      </c>
      <c r="G27" t="s">
        <v>39</v>
      </c>
      <c r="H27" t="s">
        <v>128</v>
      </c>
    </row>
    <row r="28" spans="1:8" x14ac:dyDescent="0.25">
      <c r="A28" t="s">
        <v>129</v>
      </c>
      <c r="B28" t="s">
        <v>14</v>
      </c>
      <c r="C28" t="s">
        <v>118</v>
      </c>
      <c r="D28" s="43">
        <v>36.978334858136698</v>
      </c>
      <c r="E28" s="43">
        <v>36.6524783619288</v>
      </c>
      <c r="F28" s="43">
        <v>36.828963300387301</v>
      </c>
      <c r="G28" t="s">
        <v>130</v>
      </c>
      <c r="H28" t="s">
        <v>131</v>
      </c>
    </row>
    <row r="29" spans="1:8" x14ac:dyDescent="0.25">
      <c r="A29" t="s">
        <v>132</v>
      </c>
      <c r="B29" t="s">
        <v>117</v>
      </c>
      <c r="C29" t="s">
        <v>118</v>
      </c>
      <c r="D29" s="43">
        <v>5789.3694299999997</v>
      </c>
      <c r="E29" s="43">
        <v>5636.3268770000004</v>
      </c>
      <c r="F29" s="43">
        <v>5963.574071</v>
      </c>
      <c r="G29" t="s">
        <v>59</v>
      </c>
      <c r="H29" t="s">
        <v>133</v>
      </c>
    </row>
    <row r="30" spans="1:8" x14ac:dyDescent="0.25">
      <c r="A30" t="s">
        <v>134</v>
      </c>
      <c r="B30" t="s">
        <v>117</v>
      </c>
      <c r="C30" t="s">
        <v>118</v>
      </c>
      <c r="D30" s="43">
        <v>2140.812414</v>
      </c>
      <c r="E30" s="43">
        <v>2065.8534890000001</v>
      </c>
      <c r="F30" s="43">
        <v>2196.322506</v>
      </c>
      <c r="G30" t="s">
        <v>59</v>
      </c>
      <c r="H30" t="s">
        <v>59</v>
      </c>
    </row>
    <row r="31" spans="1:8" x14ac:dyDescent="0.25">
      <c r="A31" t="s">
        <v>135</v>
      </c>
      <c r="B31" t="s">
        <v>117</v>
      </c>
      <c r="C31" t="s">
        <v>118</v>
      </c>
      <c r="D31" s="43">
        <v>3453.7350110000002</v>
      </c>
      <c r="E31" s="43">
        <v>3406.3950490000002</v>
      </c>
      <c r="F31" s="43">
        <v>3480.9972710000002</v>
      </c>
      <c r="G31" t="s">
        <v>59</v>
      </c>
      <c r="H31" t="s">
        <v>136</v>
      </c>
    </row>
    <row r="32" spans="1:8" x14ac:dyDescent="0.25">
      <c r="A32" t="s">
        <v>216</v>
      </c>
      <c r="B32" t="s">
        <v>117</v>
      </c>
      <c r="D32" s="17">
        <v>4583.68</v>
      </c>
      <c r="E32" s="17">
        <v>3671.92</v>
      </c>
      <c r="F32" s="17">
        <v>3977.79</v>
      </c>
    </row>
    <row r="33" spans="1:8" x14ac:dyDescent="0.25">
      <c r="A33" t="s">
        <v>143</v>
      </c>
      <c r="B33" t="s">
        <v>14</v>
      </c>
      <c r="D33" s="15">
        <v>-0.8</v>
      </c>
      <c r="E33" s="15">
        <v>1.76</v>
      </c>
      <c r="F33" s="15">
        <v>-12.58</v>
      </c>
    </row>
    <row r="34" spans="1:8" x14ac:dyDescent="0.25">
      <c r="A34" t="s">
        <v>137</v>
      </c>
      <c r="B34" t="s">
        <v>138</v>
      </c>
      <c r="C34" t="s">
        <v>139</v>
      </c>
      <c r="D34" s="43"/>
      <c r="E34" s="43"/>
      <c r="F34" s="43"/>
      <c r="G34" t="s">
        <v>35</v>
      </c>
      <c r="H34" t="s">
        <v>140</v>
      </c>
    </row>
    <row r="35" spans="1:8" x14ac:dyDescent="0.25">
      <c r="A35" t="s">
        <v>217</v>
      </c>
      <c r="B35" t="s">
        <v>14</v>
      </c>
      <c r="C35" t="s">
        <v>118</v>
      </c>
      <c r="D35" s="43">
        <v>6.27511732309679</v>
      </c>
      <c r="E35" s="43">
        <v>5.3446149517917698</v>
      </c>
      <c r="F35" s="43">
        <v>4.92121099706217</v>
      </c>
      <c r="G35" t="s">
        <v>22</v>
      </c>
      <c r="H35" t="s">
        <v>218</v>
      </c>
    </row>
    <row r="36" spans="1:8" x14ac:dyDescent="0.25">
      <c r="A36" t="s">
        <v>219</v>
      </c>
      <c r="B36" t="s">
        <v>14</v>
      </c>
      <c r="C36" t="s">
        <v>118</v>
      </c>
      <c r="D36" s="43">
        <v>93.724882676903206</v>
      </c>
      <c r="E36" s="43">
        <v>94.655385048208203</v>
      </c>
      <c r="F36" s="43">
        <v>95.078789002937796</v>
      </c>
      <c r="G36" t="s">
        <v>22</v>
      </c>
      <c r="H36" t="s">
        <v>220</v>
      </c>
    </row>
    <row r="37" spans="1:8" x14ac:dyDescent="0.25">
      <c r="A37" t="s">
        <v>144</v>
      </c>
      <c r="B37" t="s">
        <v>14</v>
      </c>
      <c r="C37" t="s">
        <v>118</v>
      </c>
      <c r="D37" s="43">
        <v>2.7152888102447701</v>
      </c>
      <c r="E37" s="43">
        <v>-5.4874340471657002</v>
      </c>
      <c r="F37" s="43">
        <v>-1.82718835992763</v>
      </c>
      <c r="G37" t="s">
        <v>35</v>
      </c>
      <c r="H37" t="s">
        <v>145</v>
      </c>
    </row>
    <row r="38" spans="1:8" x14ac:dyDescent="0.25">
      <c r="A38" t="s">
        <v>146</v>
      </c>
      <c r="B38" t="s">
        <v>14</v>
      </c>
      <c r="C38" t="s">
        <v>118</v>
      </c>
      <c r="D38" s="43">
        <v>0.14773991294598901</v>
      </c>
      <c r="E38" s="43">
        <v>6.5845257384944</v>
      </c>
      <c r="F38" s="43">
        <v>-80.314728756690599</v>
      </c>
      <c r="G38" t="s">
        <v>35</v>
      </c>
      <c r="H38" t="s">
        <v>147</v>
      </c>
    </row>
    <row r="39" spans="1:8" x14ac:dyDescent="0.25">
      <c r="A39" t="s">
        <v>148</v>
      </c>
      <c r="B39" t="s">
        <v>14</v>
      </c>
      <c r="C39" t="s">
        <v>118</v>
      </c>
      <c r="D39" s="43">
        <v>3.5098375226566398</v>
      </c>
      <c r="E39" s="43">
        <v>-5.0579290963152497</v>
      </c>
      <c r="F39" s="43">
        <v>1.9116854652887501</v>
      </c>
      <c r="G39" t="s">
        <v>35</v>
      </c>
      <c r="H39" t="s">
        <v>149</v>
      </c>
    </row>
    <row r="40" spans="1:8" x14ac:dyDescent="0.25">
      <c r="A40" t="s">
        <v>150</v>
      </c>
      <c r="B40" t="s">
        <v>14</v>
      </c>
      <c r="C40" t="s">
        <v>118</v>
      </c>
      <c r="D40" s="43">
        <v>9.0109700402308501</v>
      </c>
      <c r="E40" s="43">
        <v>-6.2946889082289301</v>
      </c>
      <c r="F40" s="43">
        <v>-81.656571433738094</v>
      </c>
      <c r="G40" t="s">
        <v>35</v>
      </c>
      <c r="H40" t="s">
        <v>151</v>
      </c>
    </row>
    <row r="41" spans="1:8" x14ac:dyDescent="0.25">
      <c r="A41" t="s">
        <v>152</v>
      </c>
      <c r="B41" t="s">
        <v>14</v>
      </c>
      <c r="C41" t="s">
        <v>118</v>
      </c>
      <c r="D41" s="43">
        <v>5.7336867264402001</v>
      </c>
      <c r="E41" s="43">
        <v>-26.4446175885051</v>
      </c>
      <c r="F41" s="43">
        <v>14.177739818475301</v>
      </c>
      <c r="G41" t="s">
        <v>35</v>
      </c>
      <c r="H41" t="s">
        <v>153</v>
      </c>
    </row>
    <row r="42" spans="1:8" x14ac:dyDescent="0.25">
      <c r="A42" t="s">
        <v>164</v>
      </c>
      <c r="B42" t="s">
        <v>59</v>
      </c>
      <c r="C42" t="s">
        <v>102</v>
      </c>
      <c r="D42">
        <v>0.33</v>
      </c>
      <c r="E42">
        <v>0.33</v>
      </c>
      <c r="F42">
        <v>0.3</v>
      </c>
      <c r="G42" t="s">
        <v>165</v>
      </c>
      <c r="H42" t="s">
        <v>166</v>
      </c>
    </row>
    <row r="43" spans="1:8" x14ac:dyDescent="0.25">
      <c r="A43" t="s">
        <v>167</v>
      </c>
      <c r="B43" t="s">
        <v>101</v>
      </c>
      <c r="C43" t="s">
        <v>102</v>
      </c>
      <c r="D43">
        <v>16</v>
      </c>
      <c r="E43">
        <v>17</v>
      </c>
      <c r="F43">
        <v>15</v>
      </c>
      <c r="G43" t="s">
        <v>168</v>
      </c>
      <c r="H43" t="s">
        <v>59</v>
      </c>
    </row>
    <row r="44" spans="1:8" x14ac:dyDescent="0.25">
      <c r="A44" t="s">
        <v>169</v>
      </c>
      <c r="B44" t="s">
        <v>101</v>
      </c>
      <c r="C44" t="s">
        <v>102</v>
      </c>
      <c r="D44">
        <v>49</v>
      </c>
      <c r="E44">
        <v>51</v>
      </c>
      <c r="F44">
        <v>50</v>
      </c>
      <c r="G44" t="s">
        <v>168</v>
      </c>
      <c r="H44" t="s">
        <v>59</v>
      </c>
    </row>
    <row r="45" spans="1:8" x14ac:dyDescent="0.25">
      <c r="A45" t="s">
        <v>221</v>
      </c>
      <c r="B45" t="s">
        <v>14</v>
      </c>
      <c r="C45" t="s">
        <v>102</v>
      </c>
      <c r="D45">
        <v>37.5</v>
      </c>
      <c r="E45">
        <v>29.41</v>
      </c>
      <c r="F45">
        <v>33.33</v>
      </c>
      <c r="G45" t="s">
        <v>59</v>
      </c>
      <c r="H45" t="s">
        <v>222</v>
      </c>
    </row>
    <row r="46" spans="1:8" x14ac:dyDescent="0.25">
      <c r="A46" t="s">
        <v>223</v>
      </c>
      <c r="B46" t="s">
        <v>14</v>
      </c>
      <c r="C46" t="s">
        <v>102</v>
      </c>
      <c r="D46">
        <v>6.25</v>
      </c>
      <c r="E46">
        <v>11.76</v>
      </c>
      <c r="F46">
        <v>6.67</v>
      </c>
      <c r="G46" t="s">
        <v>59</v>
      </c>
      <c r="H46" t="s">
        <v>224</v>
      </c>
    </row>
    <row r="47" spans="1:8" x14ac:dyDescent="0.25">
      <c r="A47" t="s">
        <v>225</v>
      </c>
      <c r="B47" t="s">
        <v>14</v>
      </c>
      <c r="C47" t="s">
        <v>102</v>
      </c>
      <c r="D47">
        <v>75</v>
      </c>
      <c r="E47">
        <v>64.709999999999994</v>
      </c>
      <c r="F47">
        <v>73.33</v>
      </c>
      <c r="G47" t="s">
        <v>59</v>
      </c>
      <c r="H47" t="s">
        <v>226</v>
      </c>
    </row>
    <row r="48" spans="1:8" x14ac:dyDescent="0.25">
      <c r="A48" t="s">
        <v>188</v>
      </c>
      <c r="B48" t="s">
        <v>59</v>
      </c>
      <c r="C48" t="s">
        <v>176</v>
      </c>
      <c r="D48">
        <v>0</v>
      </c>
      <c r="E48">
        <v>0</v>
      </c>
      <c r="F48">
        <v>0</v>
      </c>
      <c r="G48" t="s">
        <v>186</v>
      </c>
      <c r="H48" t="s">
        <v>189</v>
      </c>
    </row>
    <row r="49" spans="1:8" x14ac:dyDescent="0.25">
      <c r="A49" t="s">
        <v>190</v>
      </c>
      <c r="B49" t="s">
        <v>59</v>
      </c>
      <c r="C49" t="s">
        <v>176</v>
      </c>
      <c r="D49">
        <v>0</v>
      </c>
      <c r="E49">
        <v>0</v>
      </c>
      <c r="F49">
        <v>0</v>
      </c>
      <c r="G49" t="s">
        <v>191</v>
      </c>
      <c r="H49" t="s">
        <v>192</v>
      </c>
    </row>
    <row r="50" spans="1:8" x14ac:dyDescent="0.25">
      <c r="A50" t="s">
        <v>193</v>
      </c>
      <c r="B50" t="s">
        <v>59</v>
      </c>
      <c r="C50" t="s">
        <v>176</v>
      </c>
      <c r="D50">
        <v>1.5384999999999999E-2</v>
      </c>
      <c r="E50">
        <v>0</v>
      </c>
      <c r="F50">
        <v>0</v>
      </c>
      <c r="G50" t="s">
        <v>191</v>
      </c>
      <c r="H50" t="s">
        <v>194</v>
      </c>
    </row>
    <row r="51" spans="1:8" x14ac:dyDescent="0.25">
      <c r="A51" t="s">
        <v>195</v>
      </c>
      <c r="B51" t="s">
        <v>196</v>
      </c>
      <c r="C51" t="s">
        <v>176</v>
      </c>
      <c r="D51">
        <v>169038.430769231</v>
      </c>
      <c r="E51">
        <v>0</v>
      </c>
      <c r="F51">
        <v>0</v>
      </c>
      <c r="G51" t="s">
        <v>39</v>
      </c>
      <c r="H51" t="s">
        <v>197</v>
      </c>
    </row>
    <row r="52" spans="1:8" x14ac:dyDescent="0.25">
      <c r="A52" t="s">
        <v>198</v>
      </c>
      <c r="B52" t="s">
        <v>196</v>
      </c>
      <c r="C52" t="s">
        <v>176</v>
      </c>
      <c r="D52">
        <v>0</v>
      </c>
      <c r="E52">
        <v>0</v>
      </c>
      <c r="F52">
        <v>0</v>
      </c>
      <c r="G52" t="s">
        <v>22</v>
      </c>
      <c r="H52" t="s">
        <v>199</v>
      </c>
    </row>
    <row r="53" spans="1:8" x14ac:dyDescent="0.25">
      <c r="A53" t="s">
        <v>200</v>
      </c>
      <c r="B53" t="s">
        <v>201</v>
      </c>
      <c r="C53" t="s">
        <v>176</v>
      </c>
      <c r="D53">
        <v>0</v>
      </c>
      <c r="E53">
        <v>0</v>
      </c>
      <c r="F53">
        <v>0</v>
      </c>
      <c r="G53" t="s">
        <v>202</v>
      </c>
      <c r="H53" t="s">
        <v>59</v>
      </c>
    </row>
    <row r="54" spans="1:8" x14ac:dyDescent="0.25">
      <c r="A54" t="s">
        <v>203</v>
      </c>
      <c r="B54" t="s">
        <v>204</v>
      </c>
      <c r="C54" t="s">
        <v>176</v>
      </c>
      <c r="D54">
        <v>0</v>
      </c>
      <c r="E54">
        <v>5.8999999999999997E-2</v>
      </c>
      <c r="F54">
        <v>0</v>
      </c>
      <c r="G54" t="s">
        <v>205</v>
      </c>
      <c r="H54" t="s">
        <v>59</v>
      </c>
    </row>
    <row r="55" spans="1:8" x14ac:dyDescent="0.25">
      <c r="A55" t="s">
        <v>206</v>
      </c>
      <c r="B55" t="s">
        <v>207</v>
      </c>
      <c r="C55" t="s">
        <v>176</v>
      </c>
      <c r="D55">
        <v>0</v>
      </c>
      <c r="E55">
        <v>0.13400000000000001</v>
      </c>
      <c r="F55">
        <v>0</v>
      </c>
      <c r="G55" t="s">
        <v>205</v>
      </c>
      <c r="H55" t="s">
        <v>59</v>
      </c>
    </row>
    <row r="56" spans="1:8" x14ac:dyDescent="0.25">
      <c r="A56" t="s">
        <v>208</v>
      </c>
      <c r="B56" t="s">
        <v>14</v>
      </c>
      <c r="C56" t="s">
        <v>176</v>
      </c>
      <c r="D56">
        <v>0</v>
      </c>
      <c r="E56">
        <v>0</v>
      </c>
      <c r="F56">
        <v>0</v>
      </c>
      <c r="G56" t="s">
        <v>59</v>
      </c>
      <c r="H56" t="s">
        <v>209</v>
      </c>
    </row>
    <row r="57" spans="1:8" x14ac:dyDescent="0.25">
      <c r="A57" t="s">
        <v>210</v>
      </c>
      <c r="B57" t="s">
        <v>14</v>
      </c>
      <c r="C57" t="s">
        <v>176</v>
      </c>
      <c r="D57">
        <v>6.25</v>
      </c>
      <c r="E57">
        <v>5.88</v>
      </c>
      <c r="F57">
        <v>0</v>
      </c>
      <c r="G57" t="s">
        <v>59</v>
      </c>
      <c r="H57" t="s">
        <v>211</v>
      </c>
    </row>
    <row r="58" spans="1:8" x14ac:dyDescent="0.25">
      <c r="A58" t="s">
        <v>212</v>
      </c>
      <c r="B58" t="s">
        <v>14</v>
      </c>
      <c r="C58" t="s">
        <v>15</v>
      </c>
      <c r="D58" s="45">
        <v>10.45</v>
      </c>
      <c r="E58" s="45">
        <v>9.7899999999999991</v>
      </c>
      <c r="F58" s="45">
        <v>12.1</v>
      </c>
      <c r="G58" t="s">
        <v>59</v>
      </c>
      <c r="H58" t="s">
        <v>213</v>
      </c>
    </row>
    <row r="59" spans="1:8" x14ac:dyDescent="0.25">
      <c r="A59" t="s">
        <v>214</v>
      </c>
      <c r="B59" t="s">
        <v>14</v>
      </c>
      <c r="C59" t="s">
        <v>15</v>
      </c>
      <c r="D59" s="43">
        <v>7.6628352490421506E-2</v>
      </c>
      <c r="E59" s="43">
        <v>0.129098889749548</v>
      </c>
      <c r="F59" s="43">
        <v>0.95381526104417702</v>
      </c>
      <c r="G59" t="s">
        <v>59</v>
      </c>
      <c r="H59" t="s">
        <v>215</v>
      </c>
    </row>
    <row r="60" spans="1:8" x14ac:dyDescent="0.25">
      <c r="A60" t="s">
        <v>227</v>
      </c>
      <c r="B60" t="s">
        <v>207</v>
      </c>
      <c r="C60" t="s">
        <v>176</v>
      </c>
      <c r="D60">
        <v>0</v>
      </c>
      <c r="E60">
        <v>0</v>
      </c>
      <c r="F60">
        <v>0</v>
      </c>
      <c r="G60" t="s">
        <v>228</v>
      </c>
      <c r="H60" t="s">
        <v>59</v>
      </c>
    </row>
    <row r="61" spans="1:8" x14ac:dyDescent="0.25">
      <c r="A61" t="s">
        <v>229</v>
      </c>
      <c r="B61" t="s">
        <v>207</v>
      </c>
      <c r="C61" t="s">
        <v>176</v>
      </c>
      <c r="D61">
        <v>0</v>
      </c>
      <c r="E61">
        <v>0</v>
      </c>
      <c r="F61">
        <v>0</v>
      </c>
      <c r="G61" t="s">
        <v>228</v>
      </c>
      <c r="H61" t="s">
        <v>59</v>
      </c>
    </row>
    <row r="62" spans="1:8" x14ac:dyDescent="0.25">
      <c r="A62" t="s">
        <v>230</v>
      </c>
      <c r="B62" t="s">
        <v>207</v>
      </c>
      <c r="C62" t="s">
        <v>176</v>
      </c>
      <c r="D62">
        <v>0</v>
      </c>
      <c r="E62">
        <v>0</v>
      </c>
      <c r="F62">
        <v>0</v>
      </c>
      <c r="G62" t="s">
        <v>228</v>
      </c>
      <c r="H62" t="s">
        <v>59</v>
      </c>
    </row>
    <row r="63" spans="1:8" x14ac:dyDescent="0.25">
      <c r="A63" t="s">
        <v>231</v>
      </c>
      <c r="B63" t="s">
        <v>207</v>
      </c>
      <c r="C63" t="s">
        <v>176</v>
      </c>
      <c r="D63">
        <v>0</v>
      </c>
      <c r="E63">
        <v>0</v>
      </c>
      <c r="F63">
        <v>0</v>
      </c>
      <c r="G63" t="s">
        <v>228</v>
      </c>
      <c r="H63" t="s">
        <v>59</v>
      </c>
    </row>
    <row r="64" spans="1:8" x14ac:dyDescent="0.25">
      <c r="A64" t="s">
        <v>232</v>
      </c>
      <c r="B64" t="s">
        <v>207</v>
      </c>
      <c r="C64" t="s">
        <v>176</v>
      </c>
      <c r="D64">
        <v>0</v>
      </c>
      <c r="E64">
        <v>0</v>
      </c>
      <c r="F64">
        <v>0</v>
      </c>
      <c r="G64" t="s">
        <v>228</v>
      </c>
      <c r="H64" t="s">
        <v>59</v>
      </c>
    </row>
    <row r="65" spans="1:8" x14ac:dyDescent="0.25">
      <c r="A65" t="s">
        <v>233</v>
      </c>
      <c r="B65" t="s">
        <v>207</v>
      </c>
      <c r="C65" t="s">
        <v>176</v>
      </c>
      <c r="D65">
        <v>0</v>
      </c>
      <c r="E65">
        <v>0</v>
      </c>
      <c r="F65">
        <v>0</v>
      </c>
      <c r="G65" t="s">
        <v>228</v>
      </c>
      <c r="H65" t="s">
        <v>59</v>
      </c>
    </row>
    <row r="66" spans="1:8" x14ac:dyDescent="0.25">
      <c r="A66" t="s">
        <v>234</v>
      </c>
      <c r="B66" t="s">
        <v>207</v>
      </c>
      <c r="C66" t="s">
        <v>176</v>
      </c>
      <c r="D66">
        <v>0</v>
      </c>
      <c r="E66">
        <v>0</v>
      </c>
      <c r="F66">
        <v>0</v>
      </c>
      <c r="G66" t="s">
        <v>228</v>
      </c>
      <c r="H66" t="s">
        <v>59</v>
      </c>
    </row>
    <row r="67" spans="1:8" x14ac:dyDescent="0.25">
      <c r="A67" t="s">
        <v>235</v>
      </c>
      <c r="B67" t="s">
        <v>207</v>
      </c>
      <c r="C67" t="s">
        <v>176</v>
      </c>
      <c r="D67">
        <v>1</v>
      </c>
      <c r="E67">
        <v>1</v>
      </c>
      <c r="F67">
        <v>1</v>
      </c>
      <c r="G67" t="s">
        <v>228</v>
      </c>
      <c r="H67" t="s">
        <v>59</v>
      </c>
    </row>
    <row r="68" spans="1:8" x14ac:dyDescent="0.25">
      <c r="A68" t="s">
        <v>236</v>
      </c>
      <c r="B68" t="s">
        <v>207</v>
      </c>
      <c r="C68" t="s">
        <v>176</v>
      </c>
      <c r="D68">
        <v>0</v>
      </c>
      <c r="E68">
        <v>0</v>
      </c>
      <c r="F68">
        <v>0</v>
      </c>
      <c r="G68" t="s">
        <v>228</v>
      </c>
      <c r="H68" t="s">
        <v>59</v>
      </c>
    </row>
    <row r="69" spans="1:8" x14ac:dyDescent="0.25">
      <c r="A69" t="s">
        <v>237</v>
      </c>
      <c r="B69" t="s">
        <v>207</v>
      </c>
      <c r="C69" t="s">
        <v>176</v>
      </c>
      <c r="D69">
        <v>0</v>
      </c>
      <c r="E69">
        <v>0</v>
      </c>
      <c r="F69">
        <v>0</v>
      </c>
      <c r="G69" t="s">
        <v>228</v>
      </c>
      <c r="H69" t="s">
        <v>59</v>
      </c>
    </row>
    <row r="70" spans="1:8" x14ac:dyDescent="0.25">
      <c r="A70" t="s">
        <v>238</v>
      </c>
      <c r="B70" t="s">
        <v>207</v>
      </c>
      <c r="C70" t="s">
        <v>176</v>
      </c>
      <c r="D70">
        <v>0</v>
      </c>
      <c r="E70">
        <v>0</v>
      </c>
      <c r="F70">
        <v>0</v>
      </c>
      <c r="G70" t="s">
        <v>228</v>
      </c>
      <c r="H70" t="s">
        <v>59</v>
      </c>
    </row>
    <row r="71" spans="1:8" x14ac:dyDescent="0.25">
      <c r="A71" t="s">
        <v>239</v>
      </c>
      <c r="B71" t="s">
        <v>207</v>
      </c>
      <c r="C71" t="s">
        <v>176</v>
      </c>
      <c r="D71">
        <v>0</v>
      </c>
      <c r="E71">
        <v>0</v>
      </c>
      <c r="F71">
        <v>0</v>
      </c>
      <c r="G71" t="s">
        <v>228</v>
      </c>
      <c r="H71" t="s">
        <v>59</v>
      </c>
    </row>
    <row r="72" spans="1:8" x14ac:dyDescent="0.25">
      <c r="A72" t="s">
        <v>240</v>
      </c>
      <c r="B72" t="s">
        <v>59</v>
      </c>
      <c r="C72" t="s">
        <v>90</v>
      </c>
      <c r="D72" s="10" t="str">
        <f>[1]创伤骨科!$O$4</f>
        <v>取除骨折或关节内外固定</v>
      </c>
      <c r="E72" s="10" t="str">
        <f>[1]创伤骨科!$I$4</f>
        <v>取除骨折或关节内外固定</v>
      </c>
      <c r="F72" s="10" t="str">
        <f>[1]创伤骨科!$C$4</f>
        <v>取除骨折或关节内外固定</v>
      </c>
      <c r="G72" t="s">
        <v>59</v>
      </c>
      <c r="H72" t="s">
        <v>59</v>
      </c>
    </row>
    <row r="73" spans="1:8" x14ac:dyDescent="0.25">
      <c r="A73" t="s">
        <v>241</v>
      </c>
      <c r="B73" t="s">
        <v>59</v>
      </c>
      <c r="C73" t="s">
        <v>90</v>
      </c>
      <c r="D73" s="10" t="str">
        <f>[1]创伤骨科!$N$4</f>
        <v>Z47</v>
      </c>
      <c r="E73" s="10" t="str">
        <f>[1]创伤骨科!$H$4</f>
        <v>Z47</v>
      </c>
      <c r="F73" s="10" t="str">
        <f>[1]创伤骨科!$B$4</f>
        <v>Z47</v>
      </c>
      <c r="G73" t="s">
        <v>59</v>
      </c>
      <c r="H73" t="s">
        <v>59</v>
      </c>
    </row>
    <row r="74" spans="1:8" x14ac:dyDescent="0.25">
      <c r="A74" t="s">
        <v>242</v>
      </c>
      <c r="B74" t="s">
        <v>14</v>
      </c>
      <c r="C74" t="s">
        <v>90</v>
      </c>
      <c r="D74" s="10">
        <f>[1]创伤骨科!$Q$4</f>
        <v>16.091954022988499</v>
      </c>
      <c r="E74" s="10">
        <f>[1]创伤骨科!$K$4</f>
        <v>14.5107152078492</v>
      </c>
      <c r="F74" s="10">
        <f>[1]创伤骨科!$E$4</f>
        <v>13.679718875501999</v>
      </c>
      <c r="G74" t="s">
        <v>59</v>
      </c>
      <c r="H74" t="s">
        <v>59</v>
      </c>
    </row>
    <row r="75" spans="1:8" x14ac:dyDescent="0.25">
      <c r="A75" t="s">
        <v>243</v>
      </c>
      <c r="B75" t="s">
        <v>59</v>
      </c>
      <c r="C75" t="s">
        <v>90</v>
      </c>
      <c r="D75" s="10" t="str">
        <f>[1]创伤骨科!$O$5</f>
        <v>小腿骨骨折</v>
      </c>
      <c r="E75" s="10" t="str">
        <f>[1]创伤骨科!$I$5</f>
        <v>小腿骨骨折</v>
      </c>
      <c r="F75" s="10" t="str">
        <f>[1]创伤骨科!$C$5</f>
        <v>小腿骨骨折</v>
      </c>
      <c r="G75" t="s">
        <v>59</v>
      </c>
      <c r="H75" t="s">
        <v>59</v>
      </c>
    </row>
    <row r="76" spans="1:8" x14ac:dyDescent="0.25">
      <c r="A76" t="s">
        <v>244</v>
      </c>
      <c r="B76" t="s">
        <v>59</v>
      </c>
      <c r="C76" t="s">
        <v>90</v>
      </c>
      <c r="D76" s="10" t="str">
        <f>[1]创伤骨科!$N$5</f>
        <v>S82</v>
      </c>
      <c r="E76" s="10" t="str">
        <f>[1]创伤骨科!$H$5</f>
        <v>S82</v>
      </c>
      <c r="F76" s="10" t="str">
        <f>[1]创伤骨科!$B$5</f>
        <v>S82</v>
      </c>
      <c r="G76" t="s">
        <v>59</v>
      </c>
      <c r="H76" t="s">
        <v>59</v>
      </c>
    </row>
    <row r="77" spans="1:8" x14ac:dyDescent="0.25">
      <c r="A77" t="s">
        <v>245</v>
      </c>
      <c r="B77" t="s">
        <v>14</v>
      </c>
      <c r="C77" t="s">
        <v>90</v>
      </c>
      <c r="D77" s="10">
        <f>[1]创伤骨科!$Q$5</f>
        <v>8.6079182630906796</v>
      </c>
      <c r="E77" s="10">
        <f>[1]创伤骨科!$K$5</f>
        <v>8.2106893880712608</v>
      </c>
      <c r="F77" s="10">
        <f>[1]创伤骨科!$E$5</f>
        <v>9.3624497991967903</v>
      </c>
      <c r="G77" t="s">
        <v>59</v>
      </c>
      <c r="H77" t="s">
        <v>59</v>
      </c>
    </row>
    <row r="78" spans="1:8" x14ac:dyDescent="0.25">
      <c r="A78" t="s">
        <v>246</v>
      </c>
      <c r="B78" t="s">
        <v>59</v>
      </c>
      <c r="C78" t="s">
        <v>90</v>
      </c>
      <c r="D78" s="10" t="str">
        <f>[1]创伤骨科!$O$6</f>
        <v>股骨骨折</v>
      </c>
      <c r="E78" s="10" t="str">
        <f>[1]创伤骨科!$I$6</f>
        <v>股骨骨折</v>
      </c>
      <c r="F78" s="10" t="str">
        <f>[1]创伤骨科!$C$6</f>
        <v>股骨骨折</v>
      </c>
      <c r="G78" t="s">
        <v>59</v>
      </c>
      <c r="H78" t="s">
        <v>59</v>
      </c>
    </row>
    <row r="79" spans="1:8" x14ac:dyDescent="0.25">
      <c r="A79" t="s">
        <v>247</v>
      </c>
      <c r="B79" t="s">
        <v>59</v>
      </c>
      <c r="C79" t="s">
        <v>90</v>
      </c>
      <c r="D79" s="10" t="str">
        <f>[1]创伤骨科!$N$6</f>
        <v>S72</v>
      </c>
      <c r="E79" s="10" t="str">
        <f>[1]创伤骨科!$H$6</f>
        <v>S72</v>
      </c>
      <c r="F79" s="10" t="str">
        <f>[1]创伤骨科!$B$6</f>
        <v>S72</v>
      </c>
      <c r="G79" t="s">
        <v>59</v>
      </c>
      <c r="H79" t="s">
        <v>59</v>
      </c>
    </row>
    <row r="80" spans="1:8" x14ac:dyDescent="0.25">
      <c r="A80" t="s">
        <v>248</v>
      </c>
      <c r="B80" t="s">
        <v>14</v>
      </c>
      <c r="C80" t="s">
        <v>90</v>
      </c>
      <c r="D80" s="10">
        <f>[1]创伤骨科!$Q$6</f>
        <v>6.9220945083013996</v>
      </c>
      <c r="E80" s="10">
        <f>[1]创伤骨科!$K$6</f>
        <v>8.1074102762716205</v>
      </c>
      <c r="F80" s="10">
        <f>[1]创伤骨科!$E$6</f>
        <v>8.6094377510040196</v>
      </c>
      <c r="G80" t="s">
        <v>59</v>
      </c>
      <c r="H80" t="s">
        <v>59</v>
      </c>
    </row>
    <row r="81" spans="1:8" x14ac:dyDescent="0.25">
      <c r="A81" t="s">
        <v>249</v>
      </c>
      <c r="B81" t="s">
        <v>59</v>
      </c>
      <c r="C81" t="s">
        <v>90</v>
      </c>
      <c r="D81" s="10" t="str">
        <f>[1]创伤骨科!$O$7</f>
        <v>前臂骨折</v>
      </c>
      <c r="E81" s="10" t="str">
        <f>[1]创伤骨科!$I$7</f>
        <v>肱骨骨折</v>
      </c>
      <c r="F81" s="10" t="str">
        <f>[1]创伤骨科!$C$7</f>
        <v>肱骨骨折</v>
      </c>
      <c r="G81" t="s">
        <v>59</v>
      </c>
      <c r="H81" t="s">
        <v>59</v>
      </c>
    </row>
    <row r="82" spans="1:8" x14ac:dyDescent="0.25">
      <c r="A82" t="s">
        <v>250</v>
      </c>
      <c r="B82" t="s">
        <v>59</v>
      </c>
      <c r="C82" t="s">
        <v>90</v>
      </c>
      <c r="D82" s="10" t="str">
        <f>[1]创伤骨科!$N$7</f>
        <v>S52</v>
      </c>
      <c r="E82" s="10" t="str">
        <f>[1]创伤骨科!$H$7</f>
        <v>S42.2-4</v>
      </c>
      <c r="F82" s="10" t="str">
        <f>[1]创伤骨科!$B$7</f>
        <v>S42.2-4</v>
      </c>
      <c r="G82" t="s">
        <v>59</v>
      </c>
      <c r="H82" t="s">
        <v>59</v>
      </c>
    </row>
    <row r="83" spans="1:8" x14ac:dyDescent="0.25">
      <c r="A83" t="s">
        <v>251</v>
      </c>
      <c r="B83" t="s">
        <v>14</v>
      </c>
      <c r="C83" t="s">
        <v>90</v>
      </c>
      <c r="D83" s="10">
        <f>[1]创伤骨科!$Q$7</f>
        <v>5.7471264367816097</v>
      </c>
      <c r="E83" s="10">
        <f>[1]创伤骨科!$K$7</f>
        <v>5.3188742576813803</v>
      </c>
      <c r="F83" s="10">
        <f>[1]创伤骨科!$E$7</f>
        <v>4.9698795180722897</v>
      </c>
      <c r="G83" t="s">
        <v>59</v>
      </c>
      <c r="H83" t="s">
        <v>59</v>
      </c>
    </row>
    <row r="84" spans="1:8" x14ac:dyDescent="0.25">
      <c r="A84" t="s">
        <v>252</v>
      </c>
      <c r="B84" t="s">
        <v>59</v>
      </c>
      <c r="C84" t="s">
        <v>90</v>
      </c>
      <c r="D84" s="10" t="str">
        <f>[1]创伤骨科!$O$8</f>
        <v>肩和上臂骨折</v>
      </c>
      <c r="E84" s="10" t="str">
        <f>[1]创伤骨科!$I$8</f>
        <v>尺桡骨骨折</v>
      </c>
      <c r="F84" s="10" t="str">
        <f>[1]创伤骨科!$C$8</f>
        <v>尺桡骨骨折</v>
      </c>
      <c r="G84" t="s">
        <v>59</v>
      </c>
      <c r="H84" t="s">
        <v>59</v>
      </c>
    </row>
    <row r="85" spans="1:8" x14ac:dyDescent="0.25">
      <c r="A85" t="s">
        <v>253</v>
      </c>
      <c r="B85" t="s">
        <v>59</v>
      </c>
      <c r="C85" t="s">
        <v>90</v>
      </c>
      <c r="D85" s="10" t="str">
        <f>[1]创伤骨科!$N$8</f>
        <v>S42.2-4 肱骨骨折</v>
      </c>
      <c r="E85" s="10" t="str">
        <f>[1]创伤骨科!$H$8</f>
        <v>S52</v>
      </c>
      <c r="F85" s="10" t="str">
        <f>[1]创伤骨科!$B$8</f>
        <v>S52</v>
      </c>
      <c r="G85" t="s">
        <v>59</v>
      </c>
      <c r="H85" t="s">
        <v>59</v>
      </c>
    </row>
    <row r="86" spans="1:8" x14ac:dyDescent="0.25">
      <c r="A86" t="s">
        <v>254</v>
      </c>
      <c r="B86" t="s">
        <v>14</v>
      </c>
      <c r="C86" t="s">
        <v>90</v>
      </c>
      <c r="D86" s="10">
        <f>[1]创伤骨科!$Q$8</f>
        <v>4.8786717752235003</v>
      </c>
      <c r="E86" s="10">
        <f>[1]创伤骨科!$K$8</f>
        <v>5.1639555899819296</v>
      </c>
      <c r="F86" s="10">
        <f>[1]创伤骨科!$E$8</f>
        <v>4.5933734939758999</v>
      </c>
      <c r="G86" t="s">
        <v>59</v>
      </c>
      <c r="H86" t="s">
        <v>59</v>
      </c>
    </row>
    <row r="87" spans="1:8" x14ac:dyDescent="0.25">
      <c r="A87" t="s">
        <v>255</v>
      </c>
      <c r="B87" t="s">
        <v>59</v>
      </c>
      <c r="C87" t="s">
        <v>90</v>
      </c>
      <c r="D87" s="22" t="str">
        <f>[2]创伤骨科!$O$4</f>
        <v>骨折切开复位内固定术</v>
      </c>
      <c r="E87" s="22" t="str">
        <f>[2]创伤骨科!$I$4</f>
        <v>骨折切开复位内固定术</v>
      </c>
      <c r="F87" s="22" t="str">
        <f>[2]创伤骨科!$C$4</f>
        <v>骨折切开复位内固定术</v>
      </c>
      <c r="G87" t="s">
        <v>59</v>
      </c>
      <c r="H87" t="s">
        <v>59</v>
      </c>
    </row>
    <row r="88" spans="1:8" x14ac:dyDescent="0.25">
      <c r="A88" t="s">
        <v>256</v>
      </c>
      <c r="B88" t="s">
        <v>59</v>
      </c>
      <c r="C88" t="s">
        <v>90</v>
      </c>
      <c r="D88" s="23" t="str">
        <f>[2]创伤骨科!$N$4</f>
        <v>79.3</v>
      </c>
      <c r="E88" s="23" t="str">
        <f>[2]创伤骨科!$H$4</f>
        <v>79.3</v>
      </c>
      <c r="F88" s="23" t="str">
        <f>[2]创伤骨科!$B$4</f>
        <v>79.3</v>
      </c>
      <c r="G88" t="s">
        <v>59</v>
      </c>
      <c r="H88" t="s">
        <v>59</v>
      </c>
    </row>
    <row r="89" spans="1:8" x14ac:dyDescent="0.25">
      <c r="A89" t="s">
        <v>257</v>
      </c>
      <c r="B89" t="s">
        <v>14</v>
      </c>
      <c r="C89" t="s">
        <v>90</v>
      </c>
      <c r="D89" s="24">
        <f>[2]创伤骨科!$Q$4</f>
        <v>36.481203007518801</v>
      </c>
      <c r="E89" s="24">
        <f>[2]创伤骨科!$K$4</f>
        <v>37.280701754386001</v>
      </c>
      <c r="F89" s="24">
        <f>[2]创伤骨科!$E$4</f>
        <v>41.430454845089002</v>
      </c>
      <c r="G89" t="s">
        <v>59</v>
      </c>
      <c r="H89" t="s">
        <v>59</v>
      </c>
    </row>
    <row r="90" spans="1:8" x14ac:dyDescent="0.25">
      <c r="A90" t="s">
        <v>258</v>
      </c>
      <c r="B90" t="s">
        <v>59</v>
      </c>
      <c r="C90" t="s">
        <v>90</v>
      </c>
      <c r="D90" s="25" t="str">
        <f>[2]创伤骨科!$O$5</f>
        <v>骨内固定装置去除术</v>
      </c>
      <c r="E90" s="25" t="str">
        <f>[2]创伤骨科!$I$5</f>
        <v>骨内固定装置去除术</v>
      </c>
      <c r="F90" s="25" t="str">
        <f>[2]创伤骨科!$C$5</f>
        <v>骨内固定装置去除术</v>
      </c>
      <c r="G90" t="s">
        <v>59</v>
      </c>
      <c r="H90" t="s">
        <v>59</v>
      </c>
    </row>
    <row r="91" spans="1:8" x14ac:dyDescent="0.25">
      <c r="A91" t="s">
        <v>259</v>
      </c>
      <c r="B91" t="s">
        <v>59</v>
      </c>
      <c r="C91" t="s">
        <v>90</v>
      </c>
      <c r="D91" s="26" t="str">
        <f>[2]创伤骨科!$N$5</f>
        <v>78.6</v>
      </c>
      <c r="E91" s="26" t="str">
        <f>[2]创伤骨科!$H$5</f>
        <v>78.6</v>
      </c>
      <c r="F91" s="26" t="str">
        <f>[2]创伤骨科!$B$5</f>
        <v>78.6</v>
      </c>
      <c r="G91" t="s">
        <v>59</v>
      </c>
      <c r="H91" t="s">
        <v>59</v>
      </c>
    </row>
    <row r="92" spans="1:8" x14ac:dyDescent="0.25">
      <c r="A92" t="s">
        <v>260</v>
      </c>
      <c r="B92" t="s">
        <v>14</v>
      </c>
      <c r="C92" t="s">
        <v>90</v>
      </c>
      <c r="D92" s="24">
        <f>[2]创伤骨科!$Q$5</f>
        <v>19.518796992481199</v>
      </c>
      <c r="E92" s="24">
        <f>[2]创伤骨科!$K$5</f>
        <v>19.095816464237501</v>
      </c>
      <c r="F92" s="24">
        <f>[2]创伤骨科!$E$5</f>
        <v>18.2597231377719</v>
      </c>
      <c r="G92" t="s">
        <v>59</v>
      </c>
      <c r="H92" t="s">
        <v>59</v>
      </c>
    </row>
    <row r="93" spans="1:8" x14ac:dyDescent="0.25">
      <c r="A93" t="s">
        <v>261</v>
      </c>
      <c r="B93" t="s">
        <v>59</v>
      </c>
      <c r="C93" t="s">
        <v>90</v>
      </c>
      <c r="D93" s="27" t="str">
        <f>[2]创伤骨科!$O$6</f>
        <v>骨折闭合性复位内固定术</v>
      </c>
      <c r="E93" s="27" t="str">
        <f>[2]创伤骨科!$I$6</f>
        <v>骨折闭合性复位内固定术</v>
      </c>
      <c r="F93" s="27" t="str">
        <f>[2]创伤骨科!$C$6</f>
        <v>骨折闭合性复位内固定术</v>
      </c>
      <c r="G93" t="s">
        <v>59</v>
      </c>
      <c r="H93" t="s">
        <v>59</v>
      </c>
    </row>
    <row r="94" spans="1:8" x14ac:dyDescent="0.25">
      <c r="A94" t="s">
        <v>262</v>
      </c>
      <c r="B94" t="s">
        <v>59</v>
      </c>
      <c r="C94" t="s">
        <v>90</v>
      </c>
      <c r="D94" s="28" t="str">
        <f>[2]创伤骨科!$N$6</f>
        <v>79.1</v>
      </c>
      <c r="E94" s="28" t="str">
        <f>[2]创伤骨科!$H$6</f>
        <v>79.1</v>
      </c>
      <c r="F94" s="28" t="str">
        <f>[2]创伤骨科!$B$6</f>
        <v>79.1</v>
      </c>
      <c r="G94" t="s">
        <v>59</v>
      </c>
      <c r="H94" t="s">
        <v>59</v>
      </c>
    </row>
    <row r="95" spans="1:8" x14ac:dyDescent="0.25">
      <c r="A95" t="s">
        <v>263</v>
      </c>
      <c r="B95" t="s">
        <v>14</v>
      </c>
      <c r="C95" t="s">
        <v>90</v>
      </c>
      <c r="D95" s="24">
        <f>[2]创伤骨科!$Q$6</f>
        <v>6.0150375939849603</v>
      </c>
      <c r="E95" s="24">
        <f>[2]创伤骨科!$K$6</f>
        <v>6.5789473684210504</v>
      </c>
      <c r="F95" s="24">
        <f>[2]创伤骨科!$E$6</f>
        <v>5.2076466710613003</v>
      </c>
      <c r="G95" t="s">
        <v>59</v>
      </c>
      <c r="H95" t="s">
        <v>59</v>
      </c>
    </row>
    <row r="96" spans="1:8" x14ac:dyDescent="0.25">
      <c r="A96" t="s">
        <v>264</v>
      </c>
      <c r="B96" t="s">
        <v>59</v>
      </c>
      <c r="C96" t="s">
        <v>90</v>
      </c>
      <c r="D96" s="24" t="str">
        <f>[2]创伤骨科!$O$7</f>
        <v>伤口、感染或烧伤的切除性清创术</v>
      </c>
      <c r="E96" s="24" t="str">
        <f>[2]创伤骨科!$I$7</f>
        <v>手游离皮瓣移植术</v>
      </c>
      <c r="F96" s="24" t="str">
        <f>[2]创伤骨科!$C$7</f>
        <v>手游离皮瓣移植术</v>
      </c>
      <c r="G96" t="s">
        <v>59</v>
      </c>
      <c r="H96" t="s">
        <v>59</v>
      </c>
    </row>
    <row r="97" spans="1:8" x14ac:dyDescent="0.25">
      <c r="A97" t="s">
        <v>265</v>
      </c>
      <c r="B97" t="s">
        <v>59</v>
      </c>
      <c r="C97" t="s">
        <v>90</v>
      </c>
      <c r="D97" s="25" t="str">
        <f>[2]创伤骨科!$N$7</f>
        <v>86.2</v>
      </c>
      <c r="E97" s="25" t="str">
        <f>[2]创伤骨科!$H$7</f>
        <v>86.7</v>
      </c>
      <c r="F97" s="25" t="str">
        <f>[2]创伤骨科!$B$7</f>
        <v>86.7</v>
      </c>
      <c r="G97" t="s">
        <v>59</v>
      </c>
      <c r="H97" t="s">
        <v>59</v>
      </c>
    </row>
    <row r="98" spans="1:8" x14ac:dyDescent="0.25">
      <c r="A98" t="s">
        <v>266</v>
      </c>
      <c r="B98" t="s">
        <v>14</v>
      </c>
      <c r="C98" t="s">
        <v>90</v>
      </c>
      <c r="D98" s="26">
        <f>[2]创伤骨科!$Q$7</f>
        <v>5.4736842105263204</v>
      </c>
      <c r="E98" s="26">
        <f>[2]创伤骨科!$K$7</f>
        <v>5.70175438596491</v>
      </c>
      <c r="F98" s="26">
        <f>[2]创伤骨科!$E$7</f>
        <v>4.4825313117996002</v>
      </c>
      <c r="G98" t="s">
        <v>59</v>
      </c>
      <c r="H98" t="s">
        <v>59</v>
      </c>
    </row>
    <row r="99" spans="1:8" x14ac:dyDescent="0.25">
      <c r="A99" t="s">
        <v>267</v>
      </c>
      <c r="B99" t="s">
        <v>59</v>
      </c>
      <c r="C99" t="s">
        <v>90</v>
      </c>
      <c r="D99" s="24" t="str">
        <f>[2]创伤骨科!$O$8</f>
        <v>手游离皮瓣移植术</v>
      </c>
      <c r="E99" s="24" t="str">
        <f>[2]创伤骨科!$I$8</f>
        <v>手部屈肌腱缝合术，Ⅰ期</v>
      </c>
      <c r="F99" s="24" t="str">
        <f>[2]创伤骨科!$C$8</f>
        <v>手部屈肌腱缝合术，Ⅰ期</v>
      </c>
      <c r="G99" t="s">
        <v>59</v>
      </c>
      <c r="H99" t="s">
        <v>59</v>
      </c>
    </row>
    <row r="100" spans="1:8" x14ac:dyDescent="0.25">
      <c r="A100" t="s">
        <v>268</v>
      </c>
      <c r="B100" t="s">
        <v>59</v>
      </c>
      <c r="C100" t="s">
        <v>90</v>
      </c>
      <c r="D100" s="10" t="str">
        <f>[2]创伤骨科!$N$8</f>
        <v>86.7</v>
      </c>
      <c r="E100" s="10" t="str">
        <f>[2]创伤骨科!$H$8</f>
        <v>82.4</v>
      </c>
      <c r="F100" s="10" t="str">
        <f>[2]创伤骨科!$B$8</f>
        <v>82.4</v>
      </c>
      <c r="G100" t="s">
        <v>59</v>
      </c>
      <c r="H100" t="s">
        <v>59</v>
      </c>
    </row>
    <row r="101" spans="1:8" x14ac:dyDescent="0.25">
      <c r="A101" t="s">
        <v>269</v>
      </c>
      <c r="B101" t="s">
        <v>14</v>
      </c>
      <c r="C101" t="s">
        <v>90</v>
      </c>
      <c r="D101" s="10">
        <f>[2]创伤骨科!$Q$8</f>
        <v>4.2406015037594003</v>
      </c>
      <c r="E101" s="10">
        <f>[2]创伤骨科!$K$8</f>
        <v>3.9136302294197001</v>
      </c>
      <c r="F101" s="10">
        <f>[2]创伤骨科!$E$8</f>
        <v>3.8562953197099499</v>
      </c>
      <c r="G101" t="s">
        <v>59</v>
      </c>
      <c r="H101" t="s">
        <v>59</v>
      </c>
    </row>
  </sheetData>
  <phoneticPr fontId="10" type="noConversion"/>
  <conditionalFormatting sqref="D88">
    <cfRule type="duplicateValues" dxfId="227" priority="12"/>
  </conditionalFormatting>
  <conditionalFormatting sqref="E88">
    <cfRule type="duplicateValues" dxfId="226" priority="4"/>
  </conditionalFormatting>
  <conditionalFormatting sqref="F88">
    <cfRule type="duplicateValues" dxfId="225" priority="8"/>
  </conditionalFormatting>
  <conditionalFormatting sqref="D91">
    <cfRule type="duplicateValues" dxfId="224" priority="11"/>
  </conditionalFormatting>
  <conditionalFormatting sqref="E91">
    <cfRule type="duplicateValues" dxfId="223" priority="3"/>
  </conditionalFormatting>
  <conditionalFormatting sqref="F91">
    <cfRule type="duplicateValues" dxfId="222" priority="7"/>
  </conditionalFormatting>
  <conditionalFormatting sqref="D94">
    <cfRule type="duplicateValues" dxfId="221" priority="9"/>
  </conditionalFormatting>
  <conditionalFormatting sqref="E94">
    <cfRule type="duplicateValues" dxfId="220" priority="1"/>
  </conditionalFormatting>
  <conditionalFormatting sqref="F94">
    <cfRule type="duplicateValues" dxfId="219" priority="5"/>
  </conditionalFormatting>
  <conditionalFormatting sqref="D98">
    <cfRule type="duplicateValues" dxfId="218" priority="10"/>
  </conditionalFormatting>
  <conditionalFormatting sqref="E98">
    <cfRule type="duplicateValues" dxfId="217" priority="2"/>
  </conditionalFormatting>
  <conditionalFormatting sqref="F98">
    <cfRule type="duplicateValues" dxfId="216" priority="6"/>
  </conditionalFormatting>
  <pageMargins left="0.69930555555555596" right="0.69930555555555596" top="0.75" bottom="0.75" header="0.3" footer="0.3"/>
  <ignoredErrors>
    <ignoredError sqref="A2:B31 G2:H31 G34:H101 A34:B101 A1:H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1"/>
  <sheetViews>
    <sheetView topLeftCell="A13"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84.929757343550406</v>
      </c>
      <c r="E2" s="5">
        <v>76.529821843532105</v>
      </c>
      <c r="F2" s="5">
        <v>76.154618473895596</v>
      </c>
      <c r="G2" t="s">
        <v>16</v>
      </c>
      <c r="H2" t="s">
        <v>17</v>
      </c>
    </row>
    <row r="3" spans="1:8" x14ac:dyDescent="0.25">
      <c r="A3" t="s">
        <v>18</v>
      </c>
      <c r="B3" t="s">
        <v>14</v>
      </c>
      <c r="C3" t="s">
        <v>15</v>
      </c>
      <c r="D3" s="5">
        <v>1.4736842105263199</v>
      </c>
      <c r="E3" s="5">
        <v>0.60728744939271295</v>
      </c>
      <c r="F3" s="5">
        <v>0.92287409360580097</v>
      </c>
      <c r="G3" t="s">
        <v>19</v>
      </c>
      <c r="H3" t="s">
        <v>20</v>
      </c>
    </row>
    <row r="4" spans="1:8" x14ac:dyDescent="0.25">
      <c r="A4" t="s">
        <v>21</v>
      </c>
      <c r="B4" t="s">
        <v>14</v>
      </c>
      <c r="C4" t="s">
        <v>15</v>
      </c>
      <c r="D4" s="5">
        <v>5.2330827067669201</v>
      </c>
      <c r="E4" s="5">
        <v>1.0458839406207801</v>
      </c>
      <c r="F4" s="5">
        <v>1.35135135135135</v>
      </c>
      <c r="G4" t="s">
        <v>22</v>
      </c>
      <c r="H4" t="s">
        <v>23</v>
      </c>
    </row>
    <row r="5" spans="1:8" x14ac:dyDescent="0.25">
      <c r="A5" t="s">
        <v>24</v>
      </c>
      <c r="B5" t="s">
        <v>14</v>
      </c>
      <c r="C5" t="s">
        <v>15</v>
      </c>
      <c r="D5" s="6">
        <v>94.89</v>
      </c>
      <c r="E5" s="6">
        <v>75.83</v>
      </c>
      <c r="F5" s="6">
        <v>69.8</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0.2</v>
      </c>
      <c r="E7" s="6">
        <v>0.05</v>
      </c>
      <c r="F7" s="6">
        <v>0.28999999999999998</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0.87</v>
      </c>
      <c r="E10" s="6">
        <v>0.67</v>
      </c>
      <c r="F10" s="6">
        <v>0.9</v>
      </c>
      <c r="G10" t="s">
        <v>58</v>
      </c>
      <c r="H10" t="s">
        <v>59</v>
      </c>
    </row>
    <row r="11" spans="1:8" x14ac:dyDescent="0.25">
      <c r="A11" t="s">
        <v>63</v>
      </c>
      <c r="B11" t="s">
        <v>64</v>
      </c>
      <c r="C11" t="s">
        <v>61</v>
      </c>
      <c r="D11" s="5">
        <v>68.260528079115403</v>
      </c>
      <c r="E11" s="5">
        <v>70.134052618982906</v>
      </c>
      <c r="F11" s="5">
        <v>70.253390480381796</v>
      </c>
      <c r="G11" t="s">
        <v>35</v>
      </c>
      <c r="H11" t="s">
        <v>65</v>
      </c>
    </row>
    <row r="12" spans="1:8" x14ac:dyDescent="0.25">
      <c r="A12" t="s">
        <v>66</v>
      </c>
      <c r="B12" t="s">
        <v>14</v>
      </c>
      <c r="C12" t="s">
        <v>61</v>
      </c>
      <c r="D12" s="6">
        <v>78.87</v>
      </c>
      <c r="E12" s="6">
        <v>72.16</v>
      </c>
      <c r="F12" s="6">
        <v>68.790000000000006</v>
      </c>
      <c r="G12" t="s">
        <v>39</v>
      </c>
      <c r="H12" t="s">
        <v>67</v>
      </c>
    </row>
    <row r="13" spans="1:8" x14ac:dyDescent="0.25">
      <c r="A13" t="s">
        <v>68</v>
      </c>
      <c r="B13" t="s">
        <v>14</v>
      </c>
      <c r="C13" t="s">
        <v>61</v>
      </c>
      <c r="D13" s="6">
        <v>98.6</v>
      </c>
      <c r="E13" s="6">
        <v>96.79</v>
      </c>
      <c r="F13" s="6">
        <v>95.8</v>
      </c>
      <c r="G13" t="s">
        <v>39</v>
      </c>
      <c r="H13" t="s">
        <v>69</v>
      </c>
    </row>
    <row r="14" spans="1:8" x14ac:dyDescent="0.25">
      <c r="A14" t="s">
        <v>74</v>
      </c>
      <c r="B14" t="s">
        <v>14</v>
      </c>
      <c r="C14" t="s">
        <v>75</v>
      </c>
      <c r="D14" s="18">
        <f>(8283256.5+1472568)/34657840*100</f>
        <v>28.148968602775014</v>
      </c>
      <c r="E14" s="18">
        <f>10105088/30034498*100</f>
        <v>33.644937231845859</v>
      </c>
      <c r="F14" s="18">
        <f>5301602/33233253*100</f>
        <v>15.952702553674177</v>
      </c>
      <c r="G14" t="s">
        <v>35</v>
      </c>
      <c r="H14" t="s">
        <v>76</v>
      </c>
    </row>
    <row r="15" spans="1:8" x14ac:dyDescent="0.25">
      <c r="A15" t="s">
        <v>91</v>
      </c>
      <c r="B15" t="s">
        <v>92</v>
      </c>
      <c r="C15" t="s">
        <v>15</v>
      </c>
      <c r="D15" s="6">
        <v>10.25</v>
      </c>
      <c r="E15" s="6">
        <v>9.9499999999999993</v>
      </c>
      <c r="F15" s="6">
        <v>11.55</v>
      </c>
      <c r="G15" t="s">
        <v>93</v>
      </c>
      <c r="H15" t="s">
        <v>94</v>
      </c>
    </row>
    <row r="16" spans="1:8" x14ac:dyDescent="0.25">
      <c r="A16" t="s">
        <v>95</v>
      </c>
      <c r="B16" t="s">
        <v>59</v>
      </c>
      <c r="C16" t="s">
        <v>34</v>
      </c>
      <c r="D16" s="6">
        <v>1.58</v>
      </c>
      <c r="E16" s="6">
        <v>1.4</v>
      </c>
      <c r="F16" s="6">
        <v>1.49</v>
      </c>
      <c r="G16" t="s">
        <v>96</v>
      </c>
      <c r="H16" t="s">
        <v>59</v>
      </c>
    </row>
    <row r="17" spans="1:8" x14ac:dyDescent="0.25">
      <c r="A17" t="s">
        <v>97</v>
      </c>
      <c r="B17" t="s">
        <v>98</v>
      </c>
      <c r="C17" t="s">
        <v>34</v>
      </c>
      <c r="D17" s="6">
        <v>133</v>
      </c>
      <c r="E17" s="6">
        <v>146</v>
      </c>
      <c r="F17" s="6">
        <v>149</v>
      </c>
      <c r="G17" t="s">
        <v>99</v>
      </c>
      <c r="H17" t="s">
        <v>59</v>
      </c>
    </row>
    <row r="18" spans="1:8" x14ac:dyDescent="0.25">
      <c r="A18" t="s">
        <v>104</v>
      </c>
      <c r="B18" t="s">
        <v>105</v>
      </c>
      <c r="C18" t="s">
        <v>15</v>
      </c>
      <c r="D18" s="6">
        <v>94</v>
      </c>
      <c r="E18" s="6">
        <v>94</v>
      </c>
      <c r="F18" s="6">
        <v>94</v>
      </c>
      <c r="G18" t="s">
        <v>58</v>
      </c>
      <c r="H18" t="s">
        <v>59</v>
      </c>
    </row>
    <row r="19" spans="1:8" x14ac:dyDescent="0.25">
      <c r="A19" t="s">
        <v>106</v>
      </c>
      <c r="B19" t="s">
        <v>105</v>
      </c>
      <c r="C19" t="s">
        <v>15</v>
      </c>
      <c r="D19" s="6">
        <v>49</v>
      </c>
      <c r="E19" s="6">
        <v>40</v>
      </c>
      <c r="F19" s="6">
        <v>55</v>
      </c>
      <c r="G19" t="s">
        <v>58</v>
      </c>
      <c r="H19" t="s">
        <v>59</v>
      </c>
    </row>
    <row r="20" spans="1:8" x14ac:dyDescent="0.25">
      <c r="A20" t="s">
        <v>107</v>
      </c>
      <c r="B20" t="s">
        <v>14</v>
      </c>
      <c r="C20" t="s">
        <v>15</v>
      </c>
      <c r="D20" s="6">
        <v>105.7</v>
      </c>
      <c r="E20" s="6">
        <v>100.85</v>
      </c>
      <c r="F20" s="6">
        <v>111.25</v>
      </c>
      <c r="G20" t="s">
        <v>58</v>
      </c>
      <c r="H20" t="s">
        <v>108</v>
      </c>
    </row>
    <row r="21" spans="1:8" x14ac:dyDescent="0.25">
      <c r="A21" t="s">
        <v>112</v>
      </c>
      <c r="B21" t="s">
        <v>59</v>
      </c>
      <c r="C21" t="s">
        <v>102</v>
      </c>
      <c r="D21" s="5">
        <f t="shared" ref="D21:F21" si="0">D43/D19</f>
        <v>0.32653061224489793</v>
      </c>
      <c r="E21" s="5">
        <f t="shared" si="0"/>
        <v>0.42499999999999999</v>
      </c>
      <c r="F21" s="5">
        <f t="shared" si="0"/>
        <v>0.27272727272727271</v>
      </c>
      <c r="G21" t="s">
        <v>110</v>
      </c>
      <c r="H21" t="s">
        <v>113</v>
      </c>
    </row>
    <row r="22" spans="1:8" x14ac:dyDescent="0.25">
      <c r="A22" t="s">
        <v>114</v>
      </c>
      <c r="B22" t="s">
        <v>59</v>
      </c>
      <c r="C22" t="s">
        <v>102</v>
      </c>
      <c r="D22" s="5">
        <f t="shared" ref="D22:F22" si="1">D44/D19</f>
        <v>1</v>
      </c>
      <c r="E22" s="5">
        <f t="shared" si="1"/>
        <v>1.2749999999999999</v>
      </c>
      <c r="F22" s="5">
        <f t="shared" si="1"/>
        <v>0.90909090909090906</v>
      </c>
      <c r="G22" t="s">
        <v>110</v>
      </c>
      <c r="H22" t="s">
        <v>115</v>
      </c>
    </row>
    <row r="23" spans="1:8" x14ac:dyDescent="0.25">
      <c r="A23" t="s">
        <v>116</v>
      </c>
      <c r="B23" t="s">
        <v>117</v>
      </c>
      <c r="C23" t="s">
        <v>118</v>
      </c>
      <c r="D23" s="5">
        <v>31.482535500000001</v>
      </c>
      <c r="E23" s="5">
        <v>31.300810439393899</v>
      </c>
      <c r="F23" s="5">
        <v>31.3760358</v>
      </c>
      <c r="G23" t="s">
        <v>119</v>
      </c>
      <c r="H23" t="s">
        <v>59</v>
      </c>
    </row>
    <row r="24" spans="1:8" x14ac:dyDescent="0.25">
      <c r="A24" t="s">
        <v>120</v>
      </c>
      <c r="B24" t="s">
        <v>117</v>
      </c>
      <c r="C24" t="s">
        <v>118</v>
      </c>
      <c r="D24" s="5">
        <v>50.790220750000003</v>
      </c>
      <c r="E24" s="5">
        <v>51.6120461969697</v>
      </c>
      <c r="F24" s="5">
        <v>49.728532442857102</v>
      </c>
      <c r="G24" t="s">
        <v>121</v>
      </c>
      <c r="H24" t="s">
        <v>59</v>
      </c>
    </row>
    <row r="25" spans="1:8" x14ac:dyDescent="0.25">
      <c r="A25" t="s">
        <v>122</v>
      </c>
      <c r="B25" t="s">
        <v>117</v>
      </c>
      <c r="C25" t="s">
        <v>118</v>
      </c>
      <c r="D25" s="5">
        <v>21.399564314274301</v>
      </c>
      <c r="E25" s="5">
        <v>19.996645910366901</v>
      </c>
      <c r="F25" s="5">
        <v>19.966568236363599</v>
      </c>
      <c r="G25" t="s">
        <v>123</v>
      </c>
      <c r="H25" t="s">
        <v>59</v>
      </c>
    </row>
    <row r="26" spans="1:8" x14ac:dyDescent="0.25">
      <c r="A26" t="s">
        <v>124</v>
      </c>
      <c r="B26" t="s">
        <v>117</v>
      </c>
      <c r="C26" t="s">
        <v>118</v>
      </c>
      <c r="D26" s="5">
        <v>34.523540693722502</v>
      </c>
      <c r="E26" s="5">
        <v>32.972558793921202</v>
      </c>
      <c r="F26" s="5">
        <v>31.645429736363599</v>
      </c>
      <c r="G26" t="s">
        <v>125</v>
      </c>
      <c r="H26" t="s">
        <v>59</v>
      </c>
    </row>
    <row r="27" spans="1:8" x14ac:dyDescent="0.25">
      <c r="A27" t="s">
        <v>126</v>
      </c>
      <c r="B27" t="s">
        <v>127</v>
      </c>
      <c r="C27" t="s">
        <v>118</v>
      </c>
      <c r="D27" s="5">
        <v>6.6077054794520604</v>
      </c>
      <c r="E27" s="5">
        <v>6.14552780016116</v>
      </c>
      <c r="F27" s="5">
        <v>8.15799086757991</v>
      </c>
      <c r="G27" t="s">
        <v>39</v>
      </c>
      <c r="H27" t="s">
        <v>128</v>
      </c>
    </row>
    <row r="28" spans="1:8" x14ac:dyDescent="0.25">
      <c r="A28" t="s">
        <v>129</v>
      </c>
      <c r="B28" t="s">
        <v>14</v>
      </c>
      <c r="C28" t="s">
        <v>118</v>
      </c>
      <c r="D28" s="5">
        <v>36.978334858136698</v>
      </c>
      <c r="E28" s="5">
        <v>36.6524783619288</v>
      </c>
      <c r="F28" s="5">
        <v>36.828963300387301</v>
      </c>
      <c r="G28" t="s">
        <v>130</v>
      </c>
      <c r="H28" t="s">
        <v>131</v>
      </c>
    </row>
    <row r="29" spans="1:8" x14ac:dyDescent="0.25">
      <c r="A29" t="s">
        <v>132</v>
      </c>
      <c r="B29" t="s">
        <v>117</v>
      </c>
      <c r="C29" t="s">
        <v>118</v>
      </c>
      <c r="D29" s="5">
        <v>5789.3694299999997</v>
      </c>
      <c r="E29" s="5">
        <v>5636.3268770000004</v>
      </c>
      <c r="F29" s="5">
        <v>5963.574071</v>
      </c>
      <c r="G29" t="s">
        <v>59</v>
      </c>
      <c r="H29" t="s">
        <v>133</v>
      </c>
    </row>
    <row r="30" spans="1:8" x14ac:dyDescent="0.25">
      <c r="A30" t="s">
        <v>134</v>
      </c>
      <c r="B30" t="s">
        <v>117</v>
      </c>
      <c r="C30" t="s">
        <v>118</v>
      </c>
      <c r="D30" s="5">
        <v>2140.812414</v>
      </c>
      <c r="E30" s="5">
        <v>2065.8534890000001</v>
      </c>
      <c r="F30" s="5">
        <v>2196.322506</v>
      </c>
      <c r="G30" t="s">
        <v>59</v>
      </c>
      <c r="H30" t="s">
        <v>59</v>
      </c>
    </row>
    <row r="31" spans="1:8" x14ac:dyDescent="0.25">
      <c r="A31" t="s">
        <v>135</v>
      </c>
      <c r="B31" t="s">
        <v>117</v>
      </c>
      <c r="C31" t="s">
        <v>118</v>
      </c>
      <c r="D31" s="5">
        <v>3453.7350110000002</v>
      </c>
      <c r="E31" s="5">
        <v>3406.3950490000002</v>
      </c>
      <c r="F31" s="5">
        <v>3480.9972710000002</v>
      </c>
      <c r="G31" t="s">
        <v>59</v>
      </c>
      <c r="H31" t="s">
        <v>136</v>
      </c>
    </row>
    <row r="32" spans="1:8" x14ac:dyDescent="0.25">
      <c r="A32" t="s">
        <v>216</v>
      </c>
      <c r="B32" t="s">
        <v>117</v>
      </c>
      <c r="D32" s="17">
        <v>2704.35</v>
      </c>
      <c r="E32" s="17">
        <v>2226.9899999999998</v>
      </c>
      <c r="F32" s="17">
        <v>2895.82</v>
      </c>
    </row>
    <row r="33" spans="1:8" x14ac:dyDescent="0.25">
      <c r="A33" t="s">
        <v>143</v>
      </c>
      <c r="B33" t="s">
        <v>14</v>
      </c>
      <c r="D33" s="15">
        <v>-11.29</v>
      </c>
      <c r="E33" s="15">
        <v>4.1900000000000004</v>
      </c>
      <c r="F33" s="15">
        <v>8.16</v>
      </c>
    </row>
    <row r="34" spans="1:8" x14ac:dyDescent="0.25">
      <c r="A34" t="s">
        <v>137</v>
      </c>
      <c r="B34" t="s">
        <v>138</v>
      </c>
      <c r="C34" t="s">
        <v>139</v>
      </c>
      <c r="D34" s="6"/>
      <c r="E34" s="6"/>
      <c r="F34" s="6"/>
      <c r="G34" t="s">
        <v>35</v>
      </c>
      <c r="H34" t="s">
        <v>140</v>
      </c>
    </row>
    <row r="35" spans="1:8" x14ac:dyDescent="0.25">
      <c r="A35" t="s">
        <v>217</v>
      </c>
      <c r="B35" t="s">
        <v>14</v>
      </c>
      <c r="C35" t="s">
        <v>118</v>
      </c>
      <c r="D35" s="5">
        <v>6.27511732309679</v>
      </c>
      <c r="E35" s="5">
        <v>5.3446149517917698</v>
      </c>
      <c r="F35" s="5">
        <v>4.92121099706217</v>
      </c>
      <c r="G35" t="s">
        <v>22</v>
      </c>
      <c r="H35" t="s">
        <v>218</v>
      </c>
    </row>
    <row r="36" spans="1:8" x14ac:dyDescent="0.25">
      <c r="A36" t="s">
        <v>219</v>
      </c>
      <c r="B36" t="s">
        <v>14</v>
      </c>
      <c r="C36" t="s">
        <v>118</v>
      </c>
      <c r="D36" s="5">
        <v>93.724882676903206</v>
      </c>
      <c r="E36" s="5">
        <v>94.655385048208203</v>
      </c>
      <c r="F36" s="5">
        <v>95.078789002937796</v>
      </c>
      <c r="G36" t="s">
        <v>22</v>
      </c>
      <c r="H36" t="s">
        <v>220</v>
      </c>
    </row>
    <row r="37" spans="1:8" x14ac:dyDescent="0.25">
      <c r="A37" t="s">
        <v>144</v>
      </c>
      <c r="B37" t="s">
        <v>14</v>
      </c>
      <c r="C37" t="s">
        <v>118</v>
      </c>
      <c r="D37" s="5">
        <v>2.7152888102447701</v>
      </c>
      <c r="E37" s="5">
        <v>-5.4874340471657002</v>
      </c>
      <c r="F37" s="5">
        <v>-1.82718835992763</v>
      </c>
      <c r="G37" t="s">
        <v>35</v>
      </c>
      <c r="H37" t="s">
        <v>145</v>
      </c>
    </row>
    <row r="38" spans="1:8" x14ac:dyDescent="0.25">
      <c r="A38" t="s">
        <v>146</v>
      </c>
      <c r="B38" t="s">
        <v>14</v>
      </c>
      <c r="C38" t="s">
        <v>118</v>
      </c>
      <c r="D38" s="5">
        <v>0.14773991294598901</v>
      </c>
      <c r="E38" s="5">
        <v>6.5845257384944</v>
      </c>
      <c r="F38" s="5">
        <v>-80.314728756690599</v>
      </c>
      <c r="G38" t="s">
        <v>35</v>
      </c>
      <c r="H38" t="s">
        <v>147</v>
      </c>
    </row>
    <row r="39" spans="1:8" x14ac:dyDescent="0.25">
      <c r="A39" t="s">
        <v>148</v>
      </c>
      <c r="B39" t="s">
        <v>14</v>
      </c>
      <c r="C39" t="s">
        <v>118</v>
      </c>
      <c r="D39" s="5">
        <v>3.5098375226566398</v>
      </c>
      <c r="E39" s="5">
        <v>-5.0579290963152497</v>
      </c>
      <c r="F39" s="5">
        <v>1.9116854652887501</v>
      </c>
      <c r="G39" t="s">
        <v>35</v>
      </c>
      <c r="H39" t="s">
        <v>149</v>
      </c>
    </row>
    <row r="40" spans="1:8" x14ac:dyDescent="0.25">
      <c r="A40" t="s">
        <v>150</v>
      </c>
      <c r="B40" t="s">
        <v>14</v>
      </c>
      <c r="C40" t="s">
        <v>118</v>
      </c>
      <c r="D40" s="5">
        <v>9.0109700402308501</v>
      </c>
      <c r="E40" s="5">
        <v>-6.2946889082289301</v>
      </c>
      <c r="F40" s="5">
        <v>-81.656571433738094</v>
      </c>
      <c r="G40" t="s">
        <v>35</v>
      </c>
      <c r="H40" t="s">
        <v>151</v>
      </c>
    </row>
    <row r="41" spans="1:8" x14ac:dyDescent="0.25">
      <c r="A41" t="s">
        <v>152</v>
      </c>
      <c r="B41" t="s">
        <v>14</v>
      </c>
      <c r="C41" t="s">
        <v>118</v>
      </c>
      <c r="D41" s="5">
        <v>5.7336867264402001</v>
      </c>
      <c r="E41" s="5">
        <v>-26.4446175885051</v>
      </c>
      <c r="F41" s="5">
        <v>14.177739818475301</v>
      </c>
      <c r="G41" t="s">
        <v>35</v>
      </c>
      <c r="H41" t="s">
        <v>153</v>
      </c>
    </row>
    <row r="42" spans="1:8" x14ac:dyDescent="0.25">
      <c r="A42" t="s">
        <v>164</v>
      </c>
      <c r="B42" t="s">
        <v>59</v>
      </c>
      <c r="C42" t="s">
        <v>102</v>
      </c>
      <c r="D42" s="6">
        <v>0.33</v>
      </c>
      <c r="E42" s="6">
        <v>0.33</v>
      </c>
      <c r="F42" s="6">
        <v>0.3</v>
      </c>
      <c r="G42" t="s">
        <v>165</v>
      </c>
      <c r="H42" t="s">
        <v>166</v>
      </c>
    </row>
    <row r="43" spans="1:8" x14ac:dyDescent="0.25">
      <c r="A43" t="s">
        <v>167</v>
      </c>
      <c r="B43" t="s">
        <v>101</v>
      </c>
      <c r="C43" t="s">
        <v>102</v>
      </c>
      <c r="D43" s="6">
        <v>16</v>
      </c>
      <c r="E43" s="6">
        <v>17</v>
      </c>
      <c r="F43" s="6">
        <v>15</v>
      </c>
      <c r="G43" t="s">
        <v>168</v>
      </c>
      <c r="H43" t="s">
        <v>59</v>
      </c>
    </row>
    <row r="44" spans="1:8" x14ac:dyDescent="0.25">
      <c r="A44" t="s">
        <v>169</v>
      </c>
      <c r="B44" t="s">
        <v>101</v>
      </c>
      <c r="C44" t="s">
        <v>102</v>
      </c>
      <c r="D44" s="6">
        <v>49</v>
      </c>
      <c r="E44" s="6">
        <v>51</v>
      </c>
      <c r="F44" s="6">
        <v>50</v>
      </c>
      <c r="G44" t="s">
        <v>168</v>
      </c>
      <c r="H44" t="s">
        <v>59</v>
      </c>
    </row>
    <row r="45" spans="1:8" x14ac:dyDescent="0.25">
      <c r="A45" t="s">
        <v>221</v>
      </c>
      <c r="B45" t="s">
        <v>14</v>
      </c>
      <c r="C45" t="s">
        <v>102</v>
      </c>
      <c r="D45" s="6">
        <v>37.5</v>
      </c>
      <c r="E45" s="6">
        <v>29.41</v>
      </c>
      <c r="F45" s="6">
        <v>33.33</v>
      </c>
      <c r="G45" t="s">
        <v>59</v>
      </c>
      <c r="H45" t="s">
        <v>222</v>
      </c>
    </row>
    <row r="46" spans="1:8" x14ac:dyDescent="0.25">
      <c r="A46" t="s">
        <v>223</v>
      </c>
      <c r="B46" t="s">
        <v>14</v>
      </c>
      <c r="C46" t="s">
        <v>102</v>
      </c>
      <c r="D46" s="6">
        <v>6.25</v>
      </c>
      <c r="E46" s="6">
        <v>11.76</v>
      </c>
      <c r="F46" s="6">
        <v>6.67</v>
      </c>
      <c r="G46" t="s">
        <v>59</v>
      </c>
      <c r="H46" t="s">
        <v>224</v>
      </c>
    </row>
    <row r="47" spans="1:8" x14ac:dyDescent="0.25">
      <c r="A47" t="s">
        <v>225</v>
      </c>
      <c r="B47" t="s">
        <v>14</v>
      </c>
      <c r="C47" t="s">
        <v>102</v>
      </c>
      <c r="D47" s="6">
        <v>75</v>
      </c>
      <c r="E47" s="6">
        <v>64.709999999999994</v>
      </c>
      <c r="F47" s="6">
        <v>73.33</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1.5384999999999999E-2</v>
      </c>
      <c r="E50" s="6">
        <v>0</v>
      </c>
      <c r="F50" s="6">
        <v>0</v>
      </c>
      <c r="G50" t="s">
        <v>191</v>
      </c>
      <c r="H50" t="s">
        <v>194</v>
      </c>
    </row>
    <row r="51" spans="1:8" x14ac:dyDescent="0.25">
      <c r="A51" t="s">
        <v>195</v>
      </c>
      <c r="B51" t="s">
        <v>196</v>
      </c>
      <c r="C51" t="s">
        <v>176</v>
      </c>
      <c r="D51" s="6">
        <v>169038.430769231</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5.8999999999999997E-2</v>
      </c>
      <c r="F54" s="6">
        <v>0</v>
      </c>
      <c r="G54" t="s">
        <v>205</v>
      </c>
      <c r="H54" t="s">
        <v>59</v>
      </c>
    </row>
    <row r="55" spans="1:8" x14ac:dyDescent="0.25">
      <c r="A55" t="s">
        <v>206</v>
      </c>
      <c r="B55" t="s">
        <v>207</v>
      </c>
      <c r="C55" t="s">
        <v>176</v>
      </c>
      <c r="D55" s="6">
        <v>0</v>
      </c>
      <c r="E55" s="6">
        <v>0.13400000000000001</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6.25</v>
      </c>
      <c r="E57" s="6">
        <v>5.88</v>
      </c>
      <c r="F57" s="6">
        <v>0</v>
      </c>
      <c r="G57" t="s">
        <v>59</v>
      </c>
      <c r="H57" t="s">
        <v>211</v>
      </c>
    </row>
    <row r="58" spans="1:8" x14ac:dyDescent="0.25">
      <c r="A58" t="s">
        <v>212</v>
      </c>
      <c r="B58" t="s">
        <v>14</v>
      </c>
      <c r="C58" t="s">
        <v>15</v>
      </c>
      <c r="D58" s="9">
        <v>6.6795740561471399</v>
      </c>
      <c r="E58" s="9">
        <v>6.1651583710407198</v>
      </c>
      <c r="F58" s="9">
        <v>6.5114068441064603</v>
      </c>
      <c r="G58" t="s">
        <v>59</v>
      </c>
      <c r="H58" t="s">
        <v>213</v>
      </c>
    </row>
    <row r="59" spans="1:8" x14ac:dyDescent="0.25">
      <c r="A59" t="s">
        <v>214</v>
      </c>
      <c r="B59" t="s">
        <v>14</v>
      </c>
      <c r="C59" t="s">
        <v>15</v>
      </c>
      <c r="D59" s="5">
        <v>7.6628352490421506E-2</v>
      </c>
      <c r="E59" s="5">
        <v>0.129098889749548</v>
      </c>
      <c r="F59" s="5">
        <v>0.95381526104417702</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[1]关节骨病科!$O$4</f>
        <v>膝关节病</v>
      </c>
      <c r="E72" s="10" t="str">
        <f>[1]关节骨病科!$I$4</f>
        <v>膝关节病</v>
      </c>
      <c r="F72" s="10" t="str">
        <f>[1]关节骨病科!$C$4</f>
        <v>膝关节病</v>
      </c>
      <c r="G72" t="s">
        <v>59</v>
      </c>
      <c r="H72" t="s">
        <v>59</v>
      </c>
    </row>
    <row r="73" spans="1:8" x14ac:dyDescent="0.25">
      <c r="A73" t="s">
        <v>241</v>
      </c>
      <c r="B73" t="s">
        <v>59</v>
      </c>
      <c r="C73" t="s">
        <v>90</v>
      </c>
      <c r="D73" s="10" t="str">
        <f>[1]关节骨病科!$N$4</f>
        <v>M17</v>
      </c>
      <c r="E73" s="10" t="str">
        <f>[1]关节骨病科!$H$4</f>
        <v>M17</v>
      </c>
      <c r="F73" s="10" t="str">
        <f>[1]关节骨病科!$B$4</f>
        <v>M17</v>
      </c>
      <c r="G73" t="s">
        <v>59</v>
      </c>
      <c r="H73" t="s">
        <v>59</v>
      </c>
    </row>
    <row r="74" spans="1:8" x14ac:dyDescent="0.25">
      <c r="A74" t="s">
        <v>242</v>
      </c>
      <c r="B74" t="s">
        <v>14</v>
      </c>
      <c r="C74" t="s">
        <v>90</v>
      </c>
      <c r="D74" s="10">
        <f>[1]关节骨病科!$Q$4</f>
        <v>13.3107454017425</v>
      </c>
      <c r="E74" s="10">
        <f>[1]关节骨病科!$K$4</f>
        <v>15.6674208144796</v>
      </c>
      <c r="F74" s="10">
        <f>[1]关节骨病科!$E$4</f>
        <v>13.8307984790875</v>
      </c>
      <c r="G74" t="s">
        <v>59</v>
      </c>
      <c r="H74" t="s">
        <v>59</v>
      </c>
    </row>
    <row r="75" spans="1:8" x14ac:dyDescent="0.25">
      <c r="A75" t="s">
        <v>243</v>
      </c>
      <c r="B75" t="s">
        <v>59</v>
      </c>
      <c r="C75" t="s">
        <v>90</v>
      </c>
      <c r="D75" s="10" t="str">
        <f>[1]关节骨病科!$O$5</f>
        <v>股骨骨折</v>
      </c>
      <c r="E75" s="10" t="str">
        <f>[1]关节骨病科!$I$5</f>
        <v>股骨头坏死</v>
      </c>
      <c r="F75" s="10" t="str">
        <f>[1]关节骨病科!$C$5</f>
        <v>股骨头坏死</v>
      </c>
      <c r="G75" t="s">
        <v>59</v>
      </c>
      <c r="H75" t="s">
        <v>59</v>
      </c>
    </row>
    <row r="76" spans="1:8" x14ac:dyDescent="0.25">
      <c r="A76" t="s">
        <v>244</v>
      </c>
      <c r="B76" t="s">
        <v>59</v>
      </c>
      <c r="C76" t="s">
        <v>90</v>
      </c>
      <c r="D76" s="10" t="str">
        <f>[1]关节骨病科!$N$5</f>
        <v>S72</v>
      </c>
      <c r="E76" s="10" t="str">
        <f>[1]关节骨病科!$H$5</f>
        <v>M87.8</v>
      </c>
      <c r="F76" s="10" t="str">
        <f>[1]关节骨病科!$B$5</f>
        <v>M87.8</v>
      </c>
      <c r="G76" t="s">
        <v>59</v>
      </c>
      <c r="H76" t="s">
        <v>59</v>
      </c>
    </row>
    <row r="77" spans="1:8" x14ac:dyDescent="0.25">
      <c r="A77" t="s">
        <v>245</v>
      </c>
      <c r="B77" t="s">
        <v>14</v>
      </c>
      <c r="C77" t="s">
        <v>90</v>
      </c>
      <c r="D77" s="10">
        <f>[1]关节骨病科!$Q$5</f>
        <v>9.9709583736689194</v>
      </c>
      <c r="E77" s="10">
        <f>[1]关节骨病科!$K$5</f>
        <v>11.1990950226244</v>
      </c>
      <c r="F77" s="10">
        <f>[1]关节骨病科!$E$5</f>
        <v>11.692015209125501</v>
      </c>
      <c r="G77" t="s">
        <v>59</v>
      </c>
      <c r="H77" t="s">
        <v>59</v>
      </c>
    </row>
    <row r="78" spans="1:8" x14ac:dyDescent="0.25">
      <c r="A78" t="s">
        <v>246</v>
      </c>
      <c r="B78" t="s">
        <v>59</v>
      </c>
      <c r="C78" t="s">
        <v>90</v>
      </c>
      <c r="D78" s="10" t="str">
        <f>[1]关节骨病科!$O$6</f>
        <v>膝关节脱位和韧带损伤</v>
      </c>
      <c r="E78" s="10" t="str">
        <f>[1]关节骨病科!$I$6</f>
        <v>股骨骨折</v>
      </c>
      <c r="F78" s="10" t="str">
        <f>[1]关节骨病科!$C$6</f>
        <v>股骨骨折</v>
      </c>
      <c r="G78" t="s">
        <v>59</v>
      </c>
      <c r="H78" t="s">
        <v>59</v>
      </c>
    </row>
    <row r="79" spans="1:8" x14ac:dyDescent="0.25">
      <c r="A79" t="s">
        <v>247</v>
      </c>
      <c r="B79" t="s">
        <v>59</v>
      </c>
      <c r="C79" t="s">
        <v>90</v>
      </c>
      <c r="D79" s="10" t="str">
        <f>[1]关节骨病科!$N$6</f>
        <v>S83</v>
      </c>
      <c r="E79" s="10" t="str">
        <f>[1]关节骨病科!$H$6</f>
        <v>S72</v>
      </c>
      <c r="F79" s="10" t="str">
        <f>[1]关节骨病科!$B$6</f>
        <v>S72</v>
      </c>
      <c r="G79" t="s">
        <v>59</v>
      </c>
      <c r="H79" t="s">
        <v>59</v>
      </c>
    </row>
    <row r="80" spans="1:8" x14ac:dyDescent="0.25">
      <c r="A80" t="s">
        <v>248</v>
      </c>
      <c r="B80" t="s">
        <v>14</v>
      </c>
      <c r="C80" t="s">
        <v>90</v>
      </c>
      <c r="D80" s="10">
        <f>[1]关节骨病科!$Q$6</f>
        <v>7.2604065827686304</v>
      </c>
      <c r="E80" s="10">
        <f>[1]关节骨病科!$K$6</f>
        <v>10.124434389140299</v>
      </c>
      <c r="F80" s="10">
        <f>[1]关节骨病科!$E$6</f>
        <v>8.8878326996197696</v>
      </c>
      <c r="G80" t="s">
        <v>59</v>
      </c>
      <c r="H80" t="s">
        <v>59</v>
      </c>
    </row>
    <row r="81" spans="1:8" x14ac:dyDescent="0.25">
      <c r="A81" t="s">
        <v>249</v>
      </c>
      <c r="B81" t="s">
        <v>59</v>
      </c>
      <c r="C81" t="s">
        <v>90</v>
      </c>
      <c r="D81" s="10" t="str">
        <f>[1]关节骨病科!$O$7</f>
        <v>股骨头坏死</v>
      </c>
      <c r="E81" s="10" t="str">
        <f>[1]关节骨病科!$I$7</f>
        <v>膝关节脱位和韧带损伤</v>
      </c>
      <c r="F81" s="10" t="str">
        <f>[1]关节骨病科!$C$7</f>
        <v>膝关节脱位和韧带损伤</v>
      </c>
      <c r="G81" t="s">
        <v>59</v>
      </c>
      <c r="H81" t="s">
        <v>59</v>
      </c>
    </row>
    <row r="82" spans="1:8" x14ac:dyDescent="0.25">
      <c r="A82" t="s">
        <v>250</v>
      </c>
      <c r="B82" t="s">
        <v>59</v>
      </c>
      <c r="C82" t="s">
        <v>90</v>
      </c>
      <c r="D82" s="10" t="str">
        <f>[1]关节骨病科!$N$7</f>
        <v>M87-</v>
      </c>
      <c r="E82" s="10" t="str">
        <f>[1]关节骨病科!$H$7</f>
        <v>S83</v>
      </c>
      <c r="F82" s="10" t="str">
        <f>[1]关节骨病科!$B$7</f>
        <v>S83</v>
      </c>
      <c r="G82" t="s">
        <v>59</v>
      </c>
      <c r="H82" t="s">
        <v>59</v>
      </c>
    </row>
    <row r="83" spans="1:8" x14ac:dyDescent="0.25">
      <c r="A83" t="s">
        <v>251</v>
      </c>
      <c r="B83" t="s">
        <v>14</v>
      </c>
      <c r="C83" t="s">
        <v>90</v>
      </c>
      <c r="D83" s="10">
        <f>[1]关节骨病科!$Q$7</f>
        <v>7.11519845111326</v>
      </c>
      <c r="E83" s="10">
        <f>[1]关节骨病科!$K$7</f>
        <v>6.7307692307692299</v>
      </c>
      <c r="F83" s="10">
        <f>[1]关节骨病科!$E$7</f>
        <v>6.6539923954372604</v>
      </c>
      <c r="G83" t="s">
        <v>59</v>
      </c>
      <c r="H83" t="s">
        <v>59</v>
      </c>
    </row>
    <row r="84" spans="1:8" x14ac:dyDescent="0.25">
      <c r="A84" t="s">
        <v>252</v>
      </c>
      <c r="B84" t="s">
        <v>59</v>
      </c>
      <c r="C84" t="s">
        <v>90</v>
      </c>
      <c r="D84" s="10" t="str">
        <f>[1]关节骨病科!$O$8</f>
        <v>取除骨折内固定装置</v>
      </c>
      <c r="E84" s="10" t="str">
        <f>[1]关节骨病科!$I$8</f>
        <v>取除骨折内固定装置</v>
      </c>
      <c r="F84" s="10" t="str">
        <f>[1]关节骨病科!$C$8</f>
        <v>取除骨折内固定装置</v>
      </c>
      <c r="G84" t="s">
        <v>59</v>
      </c>
      <c r="H84" t="s">
        <v>59</v>
      </c>
    </row>
    <row r="85" spans="1:8" x14ac:dyDescent="0.25">
      <c r="A85" t="s">
        <v>253</v>
      </c>
      <c r="B85" t="s">
        <v>59</v>
      </c>
      <c r="C85" t="s">
        <v>90</v>
      </c>
      <c r="D85" s="10" t="str">
        <f>[1]关节骨病科!$N$8</f>
        <v>Z47.0</v>
      </c>
      <c r="E85" s="10" t="str">
        <f>[1]关节骨病科!$H$8</f>
        <v>Z47.0</v>
      </c>
      <c r="F85" s="10" t="str">
        <f>[1]关节骨病科!$B$8</f>
        <v>Z47.0</v>
      </c>
      <c r="G85" t="s">
        <v>59</v>
      </c>
      <c r="H85" t="s">
        <v>59</v>
      </c>
    </row>
    <row r="86" spans="1:8" x14ac:dyDescent="0.25">
      <c r="A86" t="s">
        <v>254</v>
      </c>
      <c r="B86" t="s">
        <v>14</v>
      </c>
      <c r="C86" t="s">
        <v>90</v>
      </c>
      <c r="D86" s="10">
        <f>[1]关节骨病科!$Q$8</f>
        <v>5.9051306873184899</v>
      </c>
      <c r="E86" s="10">
        <f>[1]关节骨病科!$K$8</f>
        <v>4.5814479638009002</v>
      </c>
      <c r="F86" s="10">
        <f>[1]关节骨病科!$E$8</f>
        <v>6.13117870722433</v>
      </c>
      <c r="G86" t="s">
        <v>59</v>
      </c>
      <c r="H86" t="s">
        <v>59</v>
      </c>
    </row>
    <row r="87" spans="1:8" x14ac:dyDescent="0.25">
      <c r="A87" t="s">
        <v>255</v>
      </c>
      <c r="B87" t="s">
        <v>59</v>
      </c>
      <c r="C87" t="s">
        <v>90</v>
      </c>
      <c r="D87" s="22" t="str">
        <f>[2]关节骨病科!$O$4</f>
        <v>髋膝关节置换术，单侧，骨病型</v>
      </c>
      <c r="E87" s="22" t="str">
        <f>[2]关节骨病科!$I$4</f>
        <v>髋膝关节置换术，单侧，骨病型</v>
      </c>
      <c r="F87" s="22" t="str">
        <f>[2]关节骨病科!$C$4</f>
        <v>髋膝关节置换术，单侧，骨病型</v>
      </c>
      <c r="G87" t="s">
        <v>59</v>
      </c>
      <c r="H87" t="s">
        <v>59</v>
      </c>
    </row>
    <row r="88" spans="1:8" x14ac:dyDescent="0.25">
      <c r="A88" t="s">
        <v>256</v>
      </c>
      <c r="B88" t="s">
        <v>59</v>
      </c>
      <c r="C88" t="s">
        <v>90</v>
      </c>
      <c r="D88" s="23" t="str">
        <f>[2]关节骨病科!$N$4</f>
        <v>81.5</v>
      </c>
      <c r="E88" s="23" t="str">
        <f>[2]关节骨病科!$H$4</f>
        <v>81.5</v>
      </c>
      <c r="F88" s="23" t="str">
        <f>[2]关节骨病科!$B$4</f>
        <v>81.5</v>
      </c>
      <c r="G88" t="s">
        <v>59</v>
      </c>
      <c r="H88" t="s">
        <v>59</v>
      </c>
    </row>
    <row r="89" spans="1:8" x14ac:dyDescent="0.25">
      <c r="A89" t="s">
        <v>257</v>
      </c>
      <c r="B89" t="s">
        <v>14</v>
      </c>
      <c r="C89" t="s">
        <v>90</v>
      </c>
      <c r="D89" s="24">
        <f>[2]关节骨病科!$Q$4</f>
        <v>32.120161756210301</v>
      </c>
      <c r="E89" s="24">
        <f>[2]关节骨病科!$K$4</f>
        <v>38.213762811127403</v>
      </c>
      <c r="F89" s="24">
        <f>[2]关节骨病科!$E$4</f>
        <v>35.2453792224347</v>
      </c>
      <c r="G89" t="s">
        <v>59</v>
      </c>
      <c r="H89" t="s">
        <v>59</v>
      </c>
    </row>
    <row r="90" spans="1:8" x14ac:dyDescent="0.25">
      <c r="A90" t="s">
        <v>258</v>
      </c>
      <c r="B90" t="s">
        <v>59</v>
      </c>
      <c r="C90" t="s">
        <v>90</v>
      </c>
      <c r="D90" s="25" t="str">
        <f>[2]关节骨病科!$O$5</f>
        <v>前交叉韧带修补术，伴自体肌腱植入，经关节镜</v>
      </c>
      <c r="E90" s="25" t="str">
        <f>[2]关节骨病科!$I$5</f>
        <v>膝外侧半月板修整术，经关节镜</v>
      </c>
      <c r="F90" s="25" t="str">
        <f>[2]关节骨病科!$C$5</f>
        <v>骨内固定装置去除术</v>
      </c>
      <c r="G90" t="s">
        <v>59</v>
      </c>
      <c r="H90" t="s">
        <v>59</v>
      </c>
    </row>
    <row r="91" spans="1:8" x14ac:dyDescent="0.25">
      <c r="A91" t="s">
        <v>259</v>
      </c>
      <c r="B91" t="s">
        <v>59</v>
      </c>
      <c r="C91" t="s">
        <v>90</v>
      </c>
      <c r="D91" s="26" t="str">
        <f>[2]关节骨病科!$N$5</f>
        <v>81.4</v>
      </c>
      <c r="E91" s="26" t="str">
        <f>[2]关节骨病科!$H$5</f>
        <v>80.6</v>
      </c>
      <c r="F91" s="26" t="str">
        <f>[2]关节骨病科!$B$5</f>
        <v>78.6</v>
      </c>
      <c r="G91" t="s">
        <v>59</v>
      </c>
      <c r="H91" t="s">
        <v>59</v>
      </c>
    </row>
    <row r="92" spans="1:8" x14ac:dyDescent="0.25">
      <c r="A92" t="s">
        <v>260</v>
      </c>
      <c r="B92" t="s">
        <v>14</v>
      </c>
      <c r="C92" t="s">
        <v>90</v>
      </c>
      <c r="D92" s="24">
        <f>[2]关节骨病科!$Q$5</f>
        <v>13.2871172732525</v>
      </c>
      <c r="E92" s="24">
        <f>[2]关节骨病科!$K$5</f>
        <v>9.0043923865300108</v>
      </c>
      <c r="F92" s="24">
        <f>[2]关节骨病科!$E$5</f>
        <v>8.4130019120458908</v>
      </c>
      <c r="G92" t="s">
        <v>59</v>
      </c>
      <c r="H92" t="s">
        <v>59</v>
      </c>
    </row>
    <row r="93" spans="1:8" x14ac:dyDescent="0.25">
      <c r="A93" t="s">
        <v>261</v>
      </c>
      <c r="B93" t="s">
        <v>59</v>
      </c>
      <c r="C93" t="s">
        <v>90</v>
      </c>
      <c r="D93" s="27" t="str">
        <f>[2]关节骨病科!$O$6</f>
        <v>骨内固定装置去除术</v>
      </c>
      <c r="E93" s="27" t="str">
        <f>[2]关节骨病科!$I$6</f>
        <v>骨内固定装置去除术</v>
      </c>
      <c r="F93" s="27" t="str">
        <f>[2]关节骨病科!$C$6</f>
        <v>腘窝囊肿切除术(贝克氏囊肿切除术)</v>
      </c>
      <c r="G93" t="s">
        <v>59</v>
      </c>
      <c r="H93" t="s">
        <v>59</v>
      </c>
    </row>
    <row r="94" spans="1:8" x14ac:dyDescent="0.25">
      <c r="A94" t="s">
        <v>262</v>
      </c>
      <c r="B94" t="s">
        <v>59</v>
      </c>
      <c r="C94" t="s">
        <v>90</v>
      </c>
      <c r="D94" s="28" t="str">
        <f>[2]关节骨病科!$N$6</f>
        <v>78.6</v>
      </c>
      <c r="E94" s="28" t="str">
        <f>[2]关节骨病科!$H$6</f>
        <v>78.6</v>
      </c>
      <c r="F94" s="28" t="str">
        <f>[2]关节骨病科!$B$6</f>
        <v>83.3</v>
      </c>
      <c r="G94" t="s">
        <v>59</v>
      </c>
      <c r="H94" t="s">
        <v>59</v>
      </c>
    </row>
    <row r="95" spans="1:8" x14ac:dyDescent="0.25">
      <c r="A95" t="s">
        <v>263</v>
      </c>
      <c r="B95" t="s">
        <v>14</v>
      </c>
      <c r="C95" t="s">
        <v>90</v>
      </c>
      <c r="D95" s="24">
        <f>[2]关节骨病科!$Q$6</f>
        <v>7.1634893125361101</v>
      </c>
      <c r="E95" s="24">
        <f>[2]关节骨病科!$K$6</f>
        <v>5.8565153733528597</v>
      </c>
      <c r="F95" s="24">
        <f>[2]关节骨病科!$E$6</f>
        <v>7.39324410452517</v>
      </c>
      <c r="G95" t="s">
        <v>59</v>
      </c>
      <c r="H95" t="s">
        <v>59</v>
      </c>
    </row>
    <row r="96" spans="1:8" x14ac:dyDescent="0.25">
      <c r="A96" t="s">
        <v>264</v>
      </c>
      <c r="B96" t="s">
        <v>59</v>
      </c>
      <c r="C96" t="s">
        <v>90</v>
      </c>
      <c r="D96" s="24" t="str">
        <f>[2]关节骨病科!$O$7</f>
        <v>腘窝囊肿切除术(贝克氏囊肿切除术)</v>
      </c>
      <c r="E96" s="24" t="str">
        <f>[2]关节骨病科!$I$7</f>
        <v>腘窝囊肿切除术(贝克氏囊肿切除术)</v>
      </c>
      <c r="F96" s="24" t="str">
        <f>[2]关节骨病科!$C$7</f>
        <v>膝外侧半月板修整术，经关节镜</v>
      </c>
      <c r="G96" t="s">
        <v>59</v>
      </c>
      <c r="H96" t="s">
        <v>59</v>
      </c>
    </row>
    <row r="97" spans="1:8" x14ac:dyDescent="0.25">
      <c r="A97" t="s">
        <v>265</v>
      </c>
      <c r="B97" t="s">
        <v>59</v>
      </c>
      <c r="C97" t="s">
        <v>90</v>
      </c>
      <c r="D97" s="25" t="str">
        <f>[2]关节骨病科!$N$7</f>
        <v>83.3</v>
      </c>
      <c r="E97" s="25" t="str">
        <f>[2]关节骨病科!$H$7</f>
        <v>83.3</v>
      </c>
      <c r="F97" s="25" t="str">
        <f>[2]关节骨病科!$B$7</f>
        <v>80.6</v>
      </c>
      <c r="G97" t="s">
        <v>59</v>
      </c>
      <c r="H97" t="s">
        <v>59</v>
      </c>
    </row>
    <row r="98" spans="1:8" x14ac:dyDescent="0.25">
      <c r="A98" t="s">
        <v>266</v>
      </c>
      <c r="B98" t="s">
        <v>14</v>
      </c>
      <c r="C98" t="s">
        <v>90</v>
      </c>
      <c r="D98" s="26">
        <f>[2]关节骨病科!$Q$7</f>
        <v>6.0080878105141498</v>
      </c>
      <c r="E98" s="26">
        <f>[2]关节骨病科!$K$7</f>
        <v>5.8565153733528597</v>
      </c>
      <c r="F98" s="26">
        <f>[2]关节骨病科!$E$7</f>
        <v>6.9471000637348599</v>
      </c>
      <c r="G98" t="s">
        <v>59</v>
      </c>
      <c r="H98" t="s">
        <v>59</v>
      </c>
    </row>
    <row r="99" spans="1:8" x14ac:dyDescent="0.25">
      <c r="A99" t="s">
        <v>267</v>
      </c>
      <c r="B99" t="s">
        <v>59</v>
      </c>
      <c r="C99" t="s">
        <v>90</v>
      </c>
      <c r="D99" s="24" t="str">
        <f>[2]关节骨病科!$O$8</f>
        <v>关节镜膝关节滑膜切除术</v>
      </c>
      <c r="E99" s="24" t="str">
        <f>[2]关节骨病科!$I$8</f>
        <v>前交叉韧带修补术，伴自体肌腱植入，经关节镜</v>
      </c>
      <c r="F99" s="24" t="str">
        <f>[2]关节骨病科!$C$8</f>
        <v>前交叉韧带修补术，伴自体肌腱植入，经关节镜</v>
      </c>
      <c r="G99" t="s">
        <v>59</v>
      </c>
      <c r="H99" t="s">
        <v>59</v>
      </c>
    </row>
    <row r="100" spans="1:8" x14ac:dyDescent="0.25">
      <c r="A100" t="s">
        <v>268</v>
      </c>
      <c r="B100" t="s">
        <v>59</v>
      </c>
      <c r="C100" t="s">
        <v>90</v>
      </c>
      <c r="D100" s="10" t="str">
        <f>[2]关节骨病科!$N$8</f>
        <v>80.7</v>
      </c>
      <c r="E100" s="10" t="str">
        <f>[2]关节骨病科!$H$8</f>
        <v>81.4</v>
      </c>
      <c r="F100" s="10" t="str">
        <f>[2]关节骨病科!$B$8</f>
        <v>81.4</v>
      </c>
      <c r="G100" t="s">
        <v>59</v>
      </c>
      <c r="H100" t="s">
        <v>59</v>
      </c>
    </row>
    <row r="101" spans="1:8" x14ac:dyDescent="0.25">
      <c r="A101" t="s">
        <v>269</v>
      </c>
      <c r="B101" t="s">
        <v>14</v>
      </c>
      <c r="C101" t="s">
        <v>90</v>
      </c>
      <c r="D101" s="10">
        <f>[2]关节骨病科!$Q$8</f>
        <v>4.21721548238013</v>
      </c>
      <c r="E101" s="10">
        <f>[2]关节骨病科!$K$8</f>
        <v>4.9780380673499298</v>
      </c>
      <c r="F101" s="10">
        <f>[2]关节骨病科!$E$8</f>
        <v>5.9910771191841903</v>
      </c>
      <c r="G101" t="s">
        <v>59</v>
      </c>
      <c r="H101" t="s">
        <v>59</v>
      </c>
    </row>
  </sheetData>
  <phoneticPr fontId="10" type="noConversion"/>
  <conditionalFormatting sqref="D88">
    <cfRule type="duplicateValues" dxfId="215" priority="12"/>
  </conditionalFormatting>
  <conditionalFormatting sqref="E88">
    <cfRule type="duplicateValues" dxfId="214" priority="4"/>
  </conditionalFormatting>
  <conditionalFormatting sqref="F88">
    <cfRule type="duplicateValues" dxfId="213" priority="8"/>
  </conditionalFormatting>
  <conditionalFormatting sqref="D91">
    <cfRule type="duplicateValues" dxfId="212" priority="11"/>
  </conditionalFormatting>
  <conditionalFormatting sqref="E91">
    <cfRule type="duplicateValues" dxfId="211" priority="3"/>
  </conditionalFormatting>
  <conditionalFormatting sqref="F91">
    <cfRule type="duplicateValues" dxfId="210" priority="7"/>
  </conditionalFormatting>
  <conditionalFormatting sqref="D94">
    <cfRule type="duplicateValues" dxfId="209" priority="9"/>
  </conditionalFormatting>
  <conditionalFormatting sqref="E94">
    <cfRule type="duplicateValues" dxfId="208" priority="1"/>
  </conditionalFormatting>
  <conditionalFormatting sqref="F94">
    <cfRule type="duplicateValues" dxfId="207" priority="5"/>
  </conditionalFormatting>
  <conditionalFormatting sqref="D98">
    <cfRule type="duplicateValues" dxfId="206" priority="10"/>
  </conditionalFormatting>
  <conditionalFormatting sqref="E98">
    <cfRule type="duplicateValues" dxfId="205" priority="2"/>
  </conditionalFormatting>
  <conditionalFormatting sqref="F98">
    <cfRule type="duplicateValues" dxfId="204" priority="6"/>
  </conditionalFormatting>
  <pageMargins left="0.69930555555555596" right="0.69930555555555596" top="0.75" bottom="0.75" header="0.3" footer="0.3"/>
  <ignoredErrors>
    <ignoredError sqref="A2:B31 G21:H31 G2:H5 G6:H14 G15:H15 G16:H17 G18:H20 G34:H57 G58:H59 G60:H71 G72:H86 G87:H101 A34:B101 A1:H1"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71.521245540058402</v>
      </c>
      <c r="E2" s="5">
        <v>66.066350710900494</v>
      </c>
      <c r="F2" s="5">
        <v>65.272727272727295</v>
      </c>
      <c r="G2" t="s">
        <v>16</v>
      </c>
      <c r="H2" t="s">
        <v>17</v>
      </c>
    </row>
    <row r="3" spans="1:8" x14ac:dyDescent="0.25">
      <c r="A3" t="s">
        <v>18</v>
      </c>
      <c r="B3" t="s">
        <v>14</v>
      </c>
      <c r="C3" t="s">
        <v>15</v>
      </c>
      <c r="D3" s="5">
        <v>65.170068027210903</v>
      </c>
      <c r="E3" s="5">
        <v>64.084170253467207</v>
      </c>
      <c r="F3" s="5">
        <v>64.623955431754894</v>
      </c>
      <c r="G3" t="s">
        <v>19</v>
      </c>
      <c r="H3" t="s">
        <v>20</v>
      </c>
    </row>
    <row r="4" spans="1:8" x14ac:dyDescent="0.25">
      <c r="A4" t="s">
        <v>21</v>
      </c>
      <c r="B4" t="s">
        <v>14</v>
      </c>
      <c r="C4" t="s">
        <v>15</v>
      </c>
      <c r="D4" s="5">
        <v>40.589569160997698</v>
      </c>
      <c r="E4" s="5">
        <v>41.415590626494499</v>
      </c>
      <c r="F4" s="5">
        <v>37.5580315691736</v>
      </c>
      <c r="G4" t="s">
        <v>22</v>
      </c>
      <c r="H4" t="s">
        <v>23</v>
      </c>
    </row>
    <row r="5" spans="1:8" x14ac:dyDescent="0.25">
      <c r="A5" t="s">
        <v>24</v>
      </c>
      <c r="B5" t="s">
        <v>14</v>
      </c>
      <c r="C5" t="s">
        <v>15</v>
      </c>
      <c r="D5" s="6">
        <v>99.32</v>
      </c>
      <c r="E5" s="6">
        <v>98.01</v>
      </c>
      <c r="F5" s="6">
        <v>93.73</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0.1</v>
      </c>
      <c r="E10" s="6">
        <v>0.25</v>
      </c>
      <c r="F10" s="6">
        <v>0.55000000000000004</v>
      </c>
      <c r="G10" t="s">
        <v>58</v>
      </c>
      <c r="H10" t="s">
        <v>59</v>
      </c>
    </row>
    <row r="11" spans="1:8" x14ac:dyDescent="0.25">
      <c r="A11" t="s">
        <v>63</v>
      </c>
      <c r="B11" t="s">
        <v>64</v>
      </c>
      <c r="C11" t="s">
        <v>61</v>
      </c>
      <c r="D11" s="5">
        <v>65.305947276324602</v>
      </c>
      <c r="E11" s="5">
        <v>67.274961764961006</v>
      </c>
      <c r="F11" s="5">
        <v>53.561583236758899</v>
      </c>
      <c r="G11" t="s">
        <v>35</v>
      </c>
      <c r="H11" t="s">
        <v>65</v>
      </c>
    </row>
    <row r="12" spans="1:8" x14ac:dyDescent="0.25">
      <c r="A12" t="s">
        <v>66</v>
      </c>
      <c r="B12" t="s">
        <v>14</v>
      </c>
      <c r="C12" t="s">
        <v>61</v>
      </c>
      <c r="D12" s="6">
        <v>97.46</v>
      </c>
      <c r="E12" s="6">
        <v>86.69</v>
      </c>
      <c r="F12" s="6">
        <v>79.12</v>
      </c>
      <c r="G12" t="s">
        <v>39</v>
      </c>
      <c r="H12" t="s">
        <v>67</v>
      </c>
    </row>
    <row r="13" spans="1:8" x14ac:dyDescent="0.25">
      <c r="A13" t="s">
        <v>68</v>
      </c>
      <c r="B13" t="s">
        <v>14</v>
      </c>
      <c r="C13" t="s">
        <v>61</v>
      </c>
      <c r="D13" s="6">
        <v>92.77</v>
      </c>
      <c r="E13" s="6">
        <v>92.01</v>
      </c>
      <c r="F13" s="6">
        <v>95.35</v>
      </c>
      <c r="G13" t="s">
        <v>39</v>
      </c>
      <c r="H13" t="s">
        <v>69</v>
      </c>
    </row>
    <row r="14" spans="1:8" x14ac:dyDescent="0.25">
      <c r="A14" t="s">
        <v>74</v>
      </c>
      <c r="B14" t="s">
        <v>14</v>
      </c>
      <c r="C14" t="s">
        <v>75</v>
      </c>
      <c r="D14" s="32">
        <f>1080/51499757*100</f>
        <v>2.0970972736822817E-3</v>
      </c>
      <c r="E14" s="32">
        <f>1512/52054773*100</f>
        <v>2.9046327797837097E-3</v>
      </c>
      <c r="F14" s="32">
        <f>3528/57189813*100</f>
        <v>6.1689308198996911E-3</v>
      </c>
      <c r="G14" t="s">
        <v>35</v>
      </c>
      <c r="H14" t="s">
        <v>76</v>
      </c>
    </row>
    <row r="15" spans="1:8" x14ac:dyDescent="0.25">
      <c r="A15" t="s">
        <v>91</v>
      </c>
      <c r="B15" t="s">
        <v>92</v>
      </c>
      <c r="C15" t="s">
        <v>15</v>
      </c>
      <c r="D15" s="6">
        <v>5.51</v>
      </c>
      <c r="E15" s="6">
        <v>5.56</v>
      </c>
      <c r="F15" s="6">
        <v>6.23</v>
      </c>
      <c r="G15" t="s">
        <v>93</v>
      </c>
      <c r="H15" t="s">
        <v>94</v>
      </c>
    </row>
    <row r="16" spans="1:8" x14ac:dyDescent="0.25">
      <c r="A16" t="s">
        <v>95</v>
      </c>
      <c r="B16" t="s">
        <v>59</v>
      </c>
      <c r="C16" t="s">
        <v>34</v>
      </c>
      <c r="D16" s="6">
        <v>1.17</v>
      </c>
      <c r="E16" s="6">
        <v>1.1299999999999999</v>
      </c>
      <c r="F16" s="6">
        <v>1.1399999999999999</v>
      </c>
      <c r="G16" t="s">
        <v>96</v>
      </c>
      <c r="H16" t="s">
        <v>59</v>
      </c>
    </row>
    <row r="17" spans="1:8" x14ac:dyDescent="0.25">
      <c r="A17" t="s">
        <v>97</v>
      </c>
      <c r="B17" t="s">
        <v>98</v>
      </c>
      <c r="C17" t="s">
        <v>34</v>
      </c>
      <c r="D17" s="6">
        <v>72</v>
      </c>
      <c r="E17" s="6">
        <v>69</v>
      </c>
      <c r="F17" s="6">
        <v>81</v>
      </c>
      <c r="G17" t="s">
        <v>99</v>
      </c>
      <c r="H17" t="s">
        <v>59</v>
      </c>
    </row>
    <row r="18" spans="1:8" x14ac:dyDescent="0.25">
      <c r="A18" t="s">
        <v>104</v>
      </c>
      <c r="B18" t="s">
        <v>105</v>
      </c>
      <c r="C18" t="s">
        <v>15</v>
      </c>
      <c r="D18" s="6">
        <v>49</v>
      </c>
      <c r="E18" s="6">
        <v>49</v>
      </c>
      <c r="F18" s="6">
        <v>49</v>
      </c>
      <c r="G18" t="s">
        <v>58</v>
      </c>
      <c r="H18" t="s">
        <v>59</v>
      </c>
    </row>
    <row r="19" spans="1:8" x14ac:dyDescent="0.25">
      <c r="A19" t="s">
        <v>106</v>
      </c>
      <c r="B19" t="s">
        <v>105</v>
      </c>
      <c r="C19" t="s">
        <v>15</v>
      </c>
      <c r="D19" s="6">
        <v>55</v>
      </c>
      <c r="E19" s="6">
        <v>49</v>
      </c>
      <c r="F19" s="6">
        <v>60</v>
      </c>
      <c r="G19" t="s">
        <v>58</v>
      </c>
      <c r="H19" t="s">
        <v>59</v>
      </c>
    </row>
    <row r="20" spans="1:8" x14ac:dyDescent="0.25">
      <c r="A20" t="s">
        <v>107</v>
      </c>
      <c r="B20" t="s">
        <v>14</v>
      </c>
      <c r="C20" t="s">
        <v>15</v>
      </c>
      <c r="D20" s="6">
        <v>87.12</v>
      </c>
      <c r="E20" s="6">
        <v>86.95</v>
      </c>
      <c r="F20" s="6">
        <v>94.88</v>
      </c>
      <c r="G20" t="s">
        <v>58</v>
      </c>
      <c r="H20" t="s">
        <v>108</v>
      </c>
    </row>
    <row r="21" spans="1:8" x14ac:dyDescent="0.25">
      <c r="A21" t="s">
        <v>112</v>
      </c>
      <c r="B21" t="s">
        <v>59</v>
      </c>
      <c r="C21" t="s">
        <v>102</v>
      </c>
      <c r="D21" s="5">
        <f t="shared" ref="D21:F21" si="0">D43/D19</f>
        <v>0.34545454545454546</v>
      </c>
      <c r="E21" s="5">
        <f t="shared" si="0"/>
        <v>0.36734693877551022</v>
      </c>
      <c r="F21" s="5">
        <f t="shared" si="0"/>
        <v>0.28333333333333333</v>
      </c>
      <c r="G21" t="s">
        <v>110</v>
      </c>
      <c r="H21" t="s">
        <v>113</v>
      </c>
    </row>
    <row r="22" spans="1:8" x14ac:dyDescent="0.25">
      <c r="A22" t="s">
        <v>114</v>
      </c>
      <c r="B22" t="s">
        <v>59</v>
      </c>
      <c r="C22" t="s">
        <v>102</v>
      </c>
      <c r="D22" s="5">
        <f t="shared" ref="D22:F22" si="1">D44/D19</f>
        <v>0.78181818181818186</v>
      </c>
      <c r="E22" s="5">
        <f t="shared" si="1"/>
        <v>0.91836734693877553</v>
      </c>
      <c r="F22" s="5">
        <f t="shared" si="1"/>
        <v>0.73333333333333328</v>
      </c>
      <c r="G22" t="s">
        <v>110</v>
      </c>
      <c r="H22" t="s">
        <v>115</v>
      </c>
    </row>
    <row r="23" spans="1:8" x14ac:dyDescent="0.25">
      <c r="A23" t="s">
        <v>116</v>
      </c>
      <c r="B23" t="s">
        <v>117</v>
      </c>
      <c r="C23" t="s">
        <v>118</v>
      </c>
      <c r="D23" s="5">
        <v>31.0960237536232</v>
      </c>
      <c r="E23" s="5">
        <v>34.975719266666701</v>
      </c>
      <c r="F23" s="5">
        <v>31.497222901408499</v>
      </c>
      <c r="G23" t="s">
        <v>119</v>
      </c>
      <c r="H23" t="s">
        <v>59</v>
      </c>
    </row>
    <row r="24" spans="1:8" x14ac:dyDescent="0.25">
      <c r="A24" t="s">
        <v>120</v>
      </c>
      <c r="B24" t="s">
        <v>117</v>
      </c>
      <c r="C24" t="s">
        <v>118</v>
      </c>
      <c r="D24" s="5">
        <v>66.039753811594196</v>
      </c>
      <c r="E24" s="5">
        <v>72.704034733333302</v>
      </c>
      <c r="F24" s="5">
        <v>67.430820492957693</v>
      </c>
      <c r="G24" t="s">
        <v>121</v>
      </c>
      <c r="H24" t="s">
        <v>59</v>
      </c>
    </row>
    <row r="25" spans="1:8" x14ac:dyDescent="0.25">
      <c r="A25" t="s">
        <v>122</v>
      </c>
      <c r="B25" t="s">
        <v>117</v>
      </c>
      <c r="C25" t="s">
        <v>118</v>
      </c>
      <c r="D25" s="5">
        <v>40.460600396002299</v>
      </c>
      <c r="E25" s="5">
        <v>37.8798403610108</v>
      </c>
      <c r="F25" s="5">
        <v>37.2717137666667</v>
      </c>
      <c r="G25" t="s">
        <v>123</v>
      </c>
      <c r="H25" t="s">
        <v>59</v>
      </c>
    </row>
    <row r="26" spans="1:8" x14ac:dyDescent="0.25">
      <c r="A26" t="s">
        <v>124</v>
      </c>
      <c r="B26" t="s">
        <v>117</v>
      </c>
      <c r="C26" t="s">
        <v>118</v>
      </c>
      <c r="D26" s="5">
        <v>85.927644974542702</v>
      </c>
      <c r="E26" s="5">
        <v>78.740831841155199</v>
      </c>
      <c r="F26" s="5">
        <v>79.793137583333305</v>
      </c>
      <c r="G26" t="s">
        <v>125</v>
      </c>
      <c r="H26" t="s">
        <v>59</v>
      </c>
    </row>
    <row r="27" spans="1:8" x14ac:dyDescent="0.25">
      <c r="A27" t="s">
        <v>126</v>
      </c>
      <c r="B27" t="s">
        <v>127</v>
      </c>
      <c r="C27" t="s">
        <v>118</v>
      </c>
      <c r="D27" s="5">
        <v>2.4315789473684202</v>
      </c>
      <c r="E27" s="5">
        <v>2.68356164383562</v>
      </c>
      <c r="F27" s="5">
        <v>3.34858984689766</v>
      </c>
      <c r="G27" t="s">
        <v>39</v>
      </c>
      <c r="H27" t="s">
        <v>128</v>
      </c>
    </row>
    <row r="28" spans="1:8" x14ac:dyDescent="0.25">
      <c r="A28" t="s">
        <v>129</v>
      </c>
      <c r="B28" t="s">
        <v>14</v>
      </c>
      <c r="C28" t="s">
        <v>118</v>
      </c>
      <c r="D28" s="5">
        <v>40.1987232625128</v>
      </c>
      <c r="E28" s="5">
        <v>40.954098525361999</v>
      </c>
      <c r="F28" s="5">
        <v>39.560646983297602</v>
      </c>
      <c r="G28" t="s">
        <v>130</v>
      </c>
      <c r="H28" t="s">
        <v>131</v>
      </c>
    </row>
    <row r="29" spans="1:8" x14ac:dyDescent="0.25">
      <c r="A29" t="s">
        <v>132</v>
      </c>
      <c r="B29" t="s">
        <v>117</v>
      </c>
      <c r="C29" t="s">
        <v>118</v>
      </c>
      <c r="D29" s="5">
        <v>5337.54673</v>
      </c>
      <c r="E29" s="5">
        <v>5124.1346569999996</v>
      </c>
      <c r="F29" s="5">
        <v>5652.8469489999998</v>
      </c>
      <c r="G29" t="s">
        <v>59</v>
      </c>
      <c r="H29" t="s">
        <v>133</v>
      </c>
    </row>
    <row r="30" spans="1:8" x14ac:dyDescent="0.25">
      <c r="A30" t="s">
        <v>134</v>
      </c>
      <c r="B30" t="s">
        <v>117</v>
      </c>
      <c r="C30" t="s">
        <v>118</v>
      </c>
      <c r="D30" s="5">
        <v>2145.6256389999999</v>
      </c>
      <c r="E30" s="5">
        <v>2098.5431560000002</v>
      </c>
      <c r="F30" s="5">
        <v>2236.3028260000001</v>
      </c>
      <c r="G30" t="s">
        <v>59</v>
      </c>
      <c r="H30" t="s">
        <v>59</v>
      </c>
    </row>
    <row r="31" spans="1:8" x14ac:dyDescent="0.25">
      <c r="A31" t="s">
        <v>135</v>
      </c>
      <c r="B31" t="s">
        <v>117</v>
      </c>
      <c r="C31" t="s">
        <v>118</v>
      </c>
      <c r="D31" s="5">
        <v>4556.7430130000002</v>
      </c>
      <c r="E31" s="5">
        <v>4362.2420840000004</v>
      </c>
      <c r="F31" s="5">
        <v>4787.5882549999997</v>
      </c>
      <c r="G31" t="s">
        <v>59</v>
      </c>
      <c r="H31" t="s">
        <v>136</v>
      </c>
    </row>
    <row r="32" spans="1:8" x14ac:dyDescent="0.25">
      <c r="A32" t="s">
        <v>216</v>
      </c>
      <c r="B32" t="s">
        <v>117</v>
      </c>
      <c r="D32" s="17">
        <v>3083.38</v>
      </c>
      <c r="E32" s="17">
        <v>2642.69</v>
      </c>
      <c r="F32" s="17">
        <v>2882.95</v>
      </c>
    </row>
    <row r="33" spans="1:8" x14ac:dyDescent="0.25">
      <c r="A33" t="s">
        <v>143</v>
      </c>
      <c r="B33" t="s">
        <v>14</v>
      </c>
      <c r="D33" s="15">
        <v>26</v>
      </c>
      <c r="E33" s="15">
        <v>26.3</v>
      </c>
      <c r="F33" s="15">
        <v>19.66</v>
      </c>
    </row>
    <row r="34" spans="1:8" x14ac:dyDescent="0.25">
      <c r="A34" t="s">
        <v>137</v>
      </c>
      <c r="B34" t="s">
        <v>138</v>
      </c>
      <c r="C34" t="s">
        <v>139</v>
      </c>
      <c r="D34" s="6"/>
      <c r="E34" s="6"/>
      <c r="F34" s="6"/>
      <c r="G34" t="s">
        <v>35</v>
      </c>
      <c r="H34" t="s">
        <v>140</v>
      </c>
    </row>
    <row r="35" spans="1:8" x14ac:dyDescent="0.25">
      <c r="A35" t="s">
        <v>217</v>
      </c>
      <c r="B35" t="s">
        <v>14</v>
      </c>
      <c r="C35" t="s">
        <v>118</v>
      </c>
      <c r="D35" s="5">
        <v>43.923368685898097</v>
      </c>
      <c r="E35" s="5">
        <v>40.761308451305197</v>
      </c>
      <c r="F35" s="5">
        <v>43.142719447435702</v>
      </c>
      <c r="G35" t="s">
        <v>22</v>
      </c>
      <c r="H35" t="s">
        <v>218</v>
      </c>
    </row>
    <row r="36" spans="1:8" x14ac:dyDescent="0.25">
      <c r="A36" t="s">
        <v>219</v>
      </c>
      <c r="B36" t="s">
        <v>14</v>
      </c>
      <c r="C36" t="s">
        <v>118</v>
      </c>
      <c r="D36" s="5">
        <v>56.076631314101903</v>
      </c>
      <c r="E36" s="5">
        <v>59.238691548694803</v>
      </c>
      <c r="F36" s="5">
        <v>56.857280552564298</v>
      </c>
      <c r="G36" t="s">
        <v>22</v>
      </c>
      <c r="H36" t="s">
        <v>220</v>
      </c>
    </row>
    <row r="37" spans="1:8" x14ac:dyDescent="0.25">
      <c r="A37" t="s">
        <v>144</v>
      </c>
      <c r="B37" t="s">
        <v>14</v>
      </c>
      <c r="C37" t="s">
        <v>118</v>
      </c>
      <c r="D37" s="5">
        <v>4.1648412324305601</v>
      </c>
      <c r="E37" s="5">
        <v>-9.3530268335591593</v>
      </c>
      <c r="F37" s="5">
        <v>19.0653514810883</v>
      </c>
      <c r="G37" t="s">
        <v>35</v>
      </c>
      <c r="H37" t="s">
        <v>145</v>
      </c>
    </row>
    <row r="38" spans="1:8" x14ac:dyDescent="0.25">
      <c r="A38" t="s">
        <v>146</v>
      </c>
      <c r="B38" t="s">
        <v>14</v>
      </c>
      <c r="C38" t="s">
        <v>118</v>
      </c>
      <c r="D38" s="5">
        <v>-0.49770390756391403</v>
      </c>
      <c r="E38" s="5">
        <v>2.0812188337112199</v>
      </c>
      <c r="F38" s="5">
        <v>7.3301440306519901</v>
      </c>
      <c r="G38" t="s">
        <v>35</v>
      </c>
      <c r="H38" t="s">
        <v>147</v>
      </c>
    </row>
    <row r="39" spans="1:8" x14ac:dyDescent="0.25">
      <c r="A39" t="s">
        <v>148</v>
      </c>
      <c r="B39" t="s">
        <v>14</v>
      </c>
      <c r="C39" t="s">
        <v>118</v>
      </c>
      <c r="D39" s="5">
        <v>2.1683848955346998</v>
      </c>
      <c r="E39" s="5">
        <v>-0.66867654270447197</v>
      </c>
      <c r="F39" s="5">
        <v>4.34859809104932</v>
      </c>
      <c r="G39" t="s">
        <v>35</v>
      </c>
      <c r="H39" t="s">
        <v>149</v>
      </c>
    </row>
    <row r="40" spans="1:8" x14ac:dyDescent="0.25">
      <c r="A40" t="s">
        <v>150</v>
      </c>
      <c r="B40" t="s">
        <v>14</v>
      </c>
      <c r="C40" t="s">
        <v>118</v>
      </c>
      <c r="D40" s="5">
        <v>12.019418428903901</v>
      </c>
      <c r="E40" s="5">
        <v>6.2848418016241903</v>
      </c>
      <c r="F40" s="5">
        <v>20.843787529488701</v>
      </c>
      <c r="G40" t="s">
        <v>35</v>
      </c>
      <c r="H40" t="s">
        <v>151</v>
      </c>
    </row>
    <row r="41" spans="1:8" x14ac:dyDescent="0.25">
      <c r="A41" t="s">
        <v>152</v>
      </c>
      <c r="B41" t="s">
        <v>14</v>
      </c>
      <c r="C41" t="s">
        <v>118</v>
      </c>
      <c r="D41" s="5">
        <v>-9.3291558192184407</v>
      </c>
      <c r="E41" s="5">
        <v>-10.704668256087301</v>
      </c>
      <c r="F41" s="5">
        <v>-0.84718647561314697</v>
      </c>
      <c r="G41" t="s">
        <v>35</v>
      </c>
      <c r="H41" t="s">
        <v>153</v>
      </c>
    </row>
    <row r="42" spans="1:8" x14ac:dyDescent="0.25">
      <c r="A42" t="s">
        <v>164</v>
      </c>
      <c r="B42" t="s">
        <v>59</v>
      </c>
      <c r="C42" t="s">
        <v>102</v>
      </c>
      <c r="D42" s="6">
        <v>0.44</v>
      </c>
      <c r="E42" s="6">
        <v>0.4</v>
      </c>
      <c r="F42" s="6">
        <v>0.39</v>
      </c>
      <c r="G42" t="s">
        <v>165</v>
      </c>
      <c r="H42" t="s">
        <v>166</v>
      </c>
    </row>
    <row r="43" spans="1:8" x14ac:dyDescent="0.25">
      <c r="A43" t="s">
        <v>167</v>
      </c>
      <c r="B43" t="s">
        <v>101</v>
      </c>
      <c r="C43" t="s">
        <v>102</v>
      </c>
      <c r="D43" s="6">
        <v>19</v>
      </c>
      <c r="E43" s="6">
        <v>18</v>
      </c>
      <c r="F43" s="6">
        <v>17</v>
      </c>
      <c r="G43" t="s">
        <v>168</v>
      </c>
      <c r="H43" t="s">
        <v>59</v>
      </c>
    </row>
    <row r="44" spans="1:8" x14ac:dyDescent="0.25">
      <c r="A44" t="s">
        <v>169</v>
      </c>
      <c r="B44" t="s">
        <v>101</v>
      </c>
      <c r="C44" t="s">
        <v>102</v>
      </c>
      <c r="D44" s="6">
        <v>43</v>
      </c>
      <c r="E44" s="6">
        <v>45</v>
      </c>
      <c r="F44" s="6">
        <v>44</v>
      </c>
      <c r="G44" t="s">
        <v>168</v>
      </c>
      <c r="H44" t="s">
        <v>59</v>
      </c>
    </row>
    <row r="45" spans="1:8" x14ac:dyDescent="0.25">
      <c r="A45" t="s">
        <v>221</v>
      </c>
      <c r="B45" t="s">
        <v>14</v>
      </c>
      <c r="C45" t="s">
        <v>102</v>
      </c>
      <c r="D45" s="6">
        <v>47.37</v>
      </c>
      <c r="E45" s="6">
        <v>50</v>
      </c>
      <c r="F45" s="6">
        <v>52.94</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52.63</v>
      </c>
      <c r="E47" s="6">
        <v>50</v>
      </c>
      <c r="F47" s="6">
        <v>47.06</v>
      </c>
      <c r="G47" t="s">
        <v>59</v>
      </c>
      <c r="H47" t="s">
        <v>226</v>
      </c>
    </row>
    <row r="48" spans="1:8" x14ac:dyDescent="0.25">
      <c r="A48" t="s">
        <v>188</v>
      </c>
      <c r="B48" t="s">
        <v>59</v>
      </c>
      <c r="C48" t="s">
        <v>176</v>
      </c>
      <c r="D48" s="6">
        <v>1.6E-2</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2552904.3387096799</v>
      </c>
      <c r="E51" s="6">
        <v>283287.85714285698</v>
      </c>
      <c r="F51" s="6">
        <v>131147.540983607</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5.2999999999999999E-2</v>
      </c>
      <c r="E54" s="6">
        <v>0</v>
      </c>
      <c r="F54" s="6">
        <v>0</v>
      </c>
      <c r="G54" t="s">
        <v>205</v>
      </c>
      <c r="H54" t="s">
        <v>59</v>
      </c>
    </row>
    <row r="55" spans="1:8" x14ac:dyDescent="0.25">
      <c r="A55" t="s">
        <v>206</v>
      </c>
      <c r="B55" t="s">
        <v>207</v>
      </c>
      <c r="C55" t="s">
        <v>176</v>
      </c>
      <c r="D55" s="6">
        <v>8.2000000000000003E-2</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10.53</v>
      </c>
      <c r="E57" s="6">
        <v>11.11</v>
      </c>
      <c r="F57" s="6">
        <v>5.88</v>
      </c>
      <c r="G57" t="s">
        <v>59</v>
      </c>
      <c r="H57" t="s">
        <v>211</v>
      </c>
    </row>
    <row r="58" spans="1:8" x14ac:dyDescent="0.25">
      <c r="A58" t="s">
        <v>212</v>
      </c>
      <c r="B58" t="s">
        <v>14</v>
      </c>
      <c r="C58" t="s">
        <v>15</v>
      </c>
      <c r="D58" s="9">
        <v>4.7680830360038904</v>
      </c>
      <c r="E58" s="9">
        <v>4.7393364928909998</v>
      </c>
      <c r="F58" s="9">
        <v>7.3333333333333304</v>
      </c>
      <c r="G58" t="s">
        <v>59</v>
      </c>
      <c r="H58" t="s">
        <v>213</v>
      </c>
    </row>
    <row r="59" spans="1:8" x14ac:dyDescent="0.25">
      <c r="A59" t="s">
        <v>214</v>
      </c>
      <c r="B59" t="s">
        <v>14</v>
      </c>
      <c r="C59" t="s">
        <v>15</v>
      </c>
      <c r="D59" s="11">
        <v>0.162179695102173</v>
      </c>
      <c r="E59" s="11">
        <v>0.53712480252764605</v>
      </c>
      <c r="F59" s="11">
        <v>1.1818181818181801</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[1]妇科!$O$4</f>
        <v>子宫平滑肌瘤</v>
      </c>
      <c r="E72" s="10" t="str">
        <f>[1]妇科!$I$4</f>
        <v>子宫平滑肌瘤</v>
      </c>
      <c r="F72" s="10" t="str">
        <f>[1]妇科!$C$4</f>
        <v>子宫平滑肌瘤</v>
      </c>
      <c r="G72" t="s">
        <v>59</v>
      </c>
      <c r="H72" t="s">
        <v>59</v>
      </c>
    </row>
    <row r="73" spans="1:8" x14ac:dyDescent="0.25">
      <c r="A73" t="s">
        <v>241</v>
      </c>
      <c r="B73" t="s">
        <v>59</v>
      </c>
      <c r="C73" t="s">
        <v>90</v>
      </c>
      <c r="D73" s="10" t="str">
        <f>[1]妇科!$N$4</f>
        <v>D25.-</v>
      </c>
      <c r="E73" s="10" t="str">
        <f>[1]妇科!$H$4</f>
        <v>D25.</v>
      </c>
      <c r="F73" s="10" t="str">
        <f>[1]妇科!$B$4</f>
        <v>D25.-</v>
      </c>
      <c r="G73" t="s">
        <v>59</v>
      </c>
      <c r="H73" t="s">
        <v>59</v>
      </c>
    </row>
    <row r="74" spans="1:8" x14ac:dyDescent="0.25">
      <c r="A74" t="s">
        <v>242</v>
      </c>
      <c r="B74" t="s">
        <v>14</v>
      </c>
      <c r="C74" t="s">
        <v>90</v>
      </c>
      <c r="D74" s="10">
        <f>[1]妇科!$Q$4</f>
        <v>19.0074602659747</v>
      </c>
      <c r="E74" s="10">
        <f>[1]妇科!$K$4</f>
        <v>18.420221169036299</v>
      </c>
      <c r="F74" s="10">
        <f>[1]妇科!$E$4</f>
        <v>16.272727272727298</v>
      </c>
      <c r="G74" t="s">
        <v>59</v>
      </c>
      <c r="H74" t="s">
        <v>59</v>
      </c>
    </row>
    <row r="75" spans="1:8" x14ac:dyDescent="0.25">
      <c r="A75" t="s">
        <v>243</v>
      </c>
      <c r="B75" t="s">
        <v>59</v>
      </c>
      <c r="C75" t="s">
        <v>90</v>
      </c>
      <c r="D75" s="10" t="str">
        <f>[1]妇科!$O$5</f>
        <v>为肿瘤化学治疗疗程</v>
      </c>
      <c r="E75" s="10" t="str">
        <f>[1]妇科!$I$5</f>
        <v>为肿瘤化学治疗疗程</v>
      </c>
      <c r="F75" s="10" t="str">
        <f>[1]妇科!$C$5</f>
        <v>为肿瘤化学治疗疗程</v>
      </c>
      <c r="G75" t="s">
        <v>59</v>
      </c>
      <c r="H75" t="s">
        <v>59</v>
      </c>
    </row>
    <row r="76" spans="1:8" x14ac:dyDescent="0.25">
      <c r="A76" t="s">
        <v>244</v>
      </c>
      <c r="B76" t="s">
        <v>59</v>
      </c>
      <c r="C76" t="s">
        <v>90</v>
      </c>
      <c r="D76" s="10" t="str">
        <f>[1]妇科!$N$5</f>
        <v>Z51.1</v>
      </c>
      <c r="E76" s="10" t="str">
        <f>[1]妇科!$H$5</f>
        <v>Z51.1</v>
      </c>
      <c r="F76" s="10" t="str">
        <f>[1]妇科!$B$5</f>
        <v>Z51.1</v>
      </c>
      <c r="G76" t="s">
        <v>59</v>
      </c>
      <c r="H76" t="s">
        <v>59</v>
      </c>
    </row>
    <row r="77" spans="1:8" x14ac:dyDescent="0.25">
      <c r="A77" t="s">
        <v>245</v>
      </c>
      <c r="B77" t="s">
        <v>14</v>
      </c>
      <c r="C77" t="s">
        <v>90</v>
      </c>
      <c r="D77" s="10">
        <f>[1]妇科!$Q$5</f>
        <v>15.6016866688291</v>
      </c>
      <c r="E77" s="10">
        <f>[1]妇科!$K$5</f>
        <v>14.8499210110585</v>
      </c>
      <c r="F77" s="10">
        <f>[1]妇科!$E$5</f>
        <v>13.363636363636401</v>
      </c>
      <c r="G77" t="s">
        <v>59</v>
      </c>
      <c r="H77" t="s">
        <v>59</v>
      </c>
    </row>
    <row r="78" spans="1:8" x14ac:dyDescent="0.25">
      <c r="A78" t="s">
        <v>246</v>
      </c>
      <c r="B78" t="s">
        <v>59</v>
      </c>
      <c r="C78" t="s">
        <v>90</v>
      </c>
      <c r="D78" s="10" t="str">
        <f>[1]妇科!$O$6</f>
        <v>宫颈原位癌</v>
      </c>
      <c r="E78" s="10" t="str">
        <f>[1]妇科!$I$6</f>
        <v>输卵管妊娠</v>
      </c>
      <c r="F78" s="10" t="str">
        <f>[1]妇科!$C$6</f>
        <v>输卵管妊娠</v>
      </c>
      <c r="G78" t="s">
        <v>59</v>
      </c>
      <c r="H78" t="s">
        <v>59</v>
      </c>
    </row>
    <row r="79" spans="1:8" x14ac:dyDescent="0.25">
      <c r="A79" t="s">
        <v>247</v>
      </c>
      <c r="B79" t="s">
        <v>59</v>
      </c>
      <c r="C79" t="s">
        <v>90</v>
      </c>
      <c r="D79" s="10" t="str">
        <f>[1]妇科!$N$6</f>
        <v>D06.-</v>
      </c>
      <c r="E79" s="10" t="str">
        <f>[1]妇科!$H$6</f>
        <v>O00.1</v>
      </c>
      <c r="F79" s="10" t="str">
        <f>[1]妇科!$B$6</f>
        <v>O00.1</v>
      </c>
      <c r="G79" t="s">
        <v>59</v>
      </c>
      <c r="H79" t="s">
        <v>59</v>
      </c>
    </row>
    <row r="80" spans="1:8" x14ac:dyDescent="0.25">
      <c r="A80" t="s">
        <v>248</v>
      </c>
      <c r="B80" t="s">
        <v>14</v>
      </c>
      <c r="C80" t="s">
        <v>90</v>
      </c>
      <c r="D80" s="10">
        <f>[1]妇科!$Q$6</f>
        <v>8.95231916963996</v>
      </c>
      <c r="E80" s="10">
        <f>[1]妇科!$K$6</f>
        <v>6.7298578199052104</v>
      </c>
      <c r="F80" s="10">
        <f>[1]妇科!$E$6</f>
        <v>7.9393939393939403</v>
      </c>
      <c r="G80" t="s">
        <v>59</v>
      </c>
      <c r="H80" t="s">
        <v>59</v>
      </c>
    </row>
    <row r="81" spans="1:8" x14ac:dyDescent="0.25">
      <c r="A81" t="s">
        <v>249</v>
      </c>
      <c r="B81" t="s">
        <v>59</v>
      </c>
      <c r="C81" t="s">
        <v>90</v>
      </c>
      <c r="D81" s="10" t="str">
        <f>[1]妇科!$O$7</f>
        <v>卵巢良性肿瘤</v>
      </c>
      <c r="E81" s="10" t="str">
        <f>[1]妇科!$I$7</f>
        <v>宫颈外膜原位癌</v>
      </c>
      <c r="F81" s="10" t="str">
        <f>[1]妇科!$C$7</f>
        <v>宫颈外膜原位癌</v>
      </c>
      <c r="G81" t="s">
        <v>59</v>
      </c>
      <c r="H81" t="s">
        <v>59</v>
      </c>
    </row>
    <row r="82" spans="1:8" x14ac:dyDescent="0.25">
      <c r="A82" t="s">
        <v>250</v>
      </c>
      <c r="B82" t="s">
        <v>59</v>
      </c>
      <c r="C82" t="s">
        <v>90</v>
      </c>
      <c r="D82" s="10" t="str">
        <f>[1]妇科!$N$7</f>
        <v>D27.x</v>
      </c>
      <c r="E82" s="10" t="str">
        <f>[1]妇科!$H$7</f>
        <v>D06.-</v>
      </c>
      <c r="F82" s="10" t="str">
        <f>[1]妇科!$B$7</f>
        <v>D06.-</v>
      </c>
      <c r="G82" t="s">
        <v>59</v>
      </c>
      <c r="H82" t="s">
        <v>59</v>
      </c>
    </row>
    <row r="83" spans="1:8" x14ac:dyDescent="0.25">
      <c r="A83" t="s">
        <v>251</v>
      </c>
      <c r="B83" t="s">
        <v>14</v>
      </c>
      <c r="C83" t="s">
        <v>90</v>
      </c>
      <c r="D83" s="10">
        <f>[1]妇科!$Q$7</f>
        <v>6.9737268893934496</v>
      </c>
      <c r="E83" s="10">
        <f>[1]妇科!$K$7</f>
        <v>7.2037914691943099</v>
      </c>
      <c r="F83" s="10">
        <f>[1]妇科!$E$7</f>
        <v>8.7272727272727302</v>
      </c>
      <c r="G83" t="s">
        <v>59</v>
      </c>
      <c r="H83" t="s">
        <v>59</v>
      </c>
    </row>
    <row r="84" spans="1:8" x14ac:dyDescent="0.25">
      <c r="A84" t="s">
        <v>252</v>
      </c>
      <c r="B84" t="s">
        <v>59</v>
      </c>
      <c r="C84" t="s">
        <v>90</v>
      </c>
      <c r="D84" s="10" t="str">
        <f>[1]妇科!$O$8</f>
        <v>输卵管妊娠</v>
      </c>
      <c r="E84" s="10" t="str">
        <f>[1]妇科!$I$8</f>
        <v>卵巢良性肿瘤</v>
      </c>
      <c r="F84" s="10" t="str">
        <f>[1]妇科!$C$8</f>
        <v>宫颈发育不良</v>
      </c>
      <c r="G84" t="s">
        <v>59</v>
      </c>
      <c r="H84" t="s">
        <v>59</v>
      </c>
    </row>
    <row r="85" spans="1:8" x14ac:dyDescent="0.25">
      <c r="A85" t="s">
        <v>253</v>
      </c>
      <c r="B85" t="s">
        <v>59</v>
      </c>
      <c r="C85" t="s">
        <v>90</v>
      </c>
      <c r="D85" s="10" t="str">
        <f>[1]妇科!$N$8</f>
        <v>O00.1</v>
      </c>
      <c r="E85" s="10" t="str">
        <f>[1]妇科!$H$8</f>
        <v>D27.x</v>
      </c>
      <c r="F85" s="10" t="str">
        <f>[1]妇科!$B$8</f>
        <v>N87.</v>
      </c>
      <c r="G85" t="s">
        <v>59</v>
      </c>
      <c r="H85" t="s">
        <v>59</v>
      </c>
    </row>
    <row r="86" spans="1:8" x14ac:dyDescent="0.25">
      <c r="A86" t="s">
        <v>254</v>
      </c>
      <c r="B86" t="s">
        <v>14</v>
      </c>
      <c r="C86" t="s">
        <v>90</v>
      </c>
      <c r="D86" s="10">
        <f>[1]妇科!$Q$8</f>
        <v>5.5465455724943196</v>
      </c>
      <c r="E86" s="10">
        <f>[1]妇科!$K$8</f>
        <v>5.4660347551342801</v>
      </c>
      <c r="F86" s="10">
        <f>[1]妇科!$E$8</f>
        <v>6.2121212121212102</v>
      </c>
      <c r="G86" t="s">
        <v>59</v>
      </c>
      <c r="H86" t="s">
        <v>59</v>
      </c>
    </row>
    <row r="87" spans="1:8" x14ac:dyDescent="0.25">
      <c r="A87" t="s">
        <v>255</v>
      </c>
      <c r="B87" t="s">
        <v>59</v>
      </c>
      <c r="C87" t="s">
        <v>90</v>
      </c>
      <c r="D87" s="22" t="str">
        <f>[2]妇科!$O$4</f>
        <v>腹腔镜经腹全子宫切除术</v>
      </c>
      <c r="E87" s="22" t="str">
        <f>[2]妇科!$I$4</f>
        <v>子宫全切除术，经腹腔镜</v>
      </c>
      <c r="F87" s="22" t="str">
        <f>[2]妇科!$C$4</f>
        <v>子宫全切除术，经腹腔镜</v>
      </c>
      <c r="G87" t="s">
        <v>59</v>
      </c>
      <c r="H87" t="s">
        <v>59</v>
      </c>
    </row>
    <row r="88" spans="1:8" x14ac:dyDescent="0.25">
      <c r="A88" t="s">
        <v>256</v>
      </c>
      <c r="B88" t="s">
        <v>59</v>
      </c>
      <c r="C88" t="s">
        <v>90</v>
      </c>
      <c r="D88" s="23">
        <f>[2]妇科!$N$4</f>
        <v>68.41</v>
      </c>
      <c r="E88" s="23">
        <f>[2]妇科!$H$4</f>
        <v>68.41</v>
      </c>
      <c r="F88" s="23">
        <f>[2]妇科!$B$4</f>
        <v>68.41</v>
      </c>
      <c r="G88" t="s">
        <v>59</v>
      </c>
      <c r="H88" t="s">
        <v>59</v>
      </c>
    </row>
    <row r="89" spans="1:8" x14ac:dyDescent="0.25">
      <c r="A89" t="s">
        <v>257</v>
      </c>
      <c r="B89" t="s">
        <v>14</v>
      </c>
      <c r="C89" t="s">
        <v>90</v>
      </c>
      <c r="D89" s="24">
        <f>[2]妇科!$Q$4</f>
        <v>27.165532879818599</v>
      </c>
      <c r="E89" s="24">
        <f>[2]妇科!$K$4</f>
        <v>26.255380200860799</v>
      </c>
      <c r="F89" s="24">
        <f>[2]妇科!$E$4</f>
        <v>25.023212627669501</v>
      </c>
      <c r="G89" t="s">
        <v>59</v>
      </c>
      <c r="H89" t="s">
        <v>59</v>
      </c>
    </row>
    <row r="90" spans="1:8" x14ac:dyDescent="0.25">
      <c r="A90" t="s">
        <v>258</v>
      </c>
      <c r="B90" t="s">
        <v>59</v>
      </c>
      <c r="C90" t="s">
        <v>90</v>
      </c>
      <c r="D90" s="25" t="str">
        <f>[2]妇科!$O$5</f>
        <v>腹腔镜子宫病损切除术</v>
      </c>
      <c r="E90" s="25" t="str">
        <f>[2]妇科!$I$5</f>
        <v>子宫病损切除术，经腹腔镜</v>
      </c>
      <c r="F90" s="25" t="str">
        <f>[2]妇科!$C$5</f>
        <v>子宫颈锥形电切除(LeepLLETZ)</v>
      </c>
      <c r="G90" t="s">
        <v>59</v>
      </c>
      <c r="H90" t="s">
        <v>59</v>
      </c>
    </row>
    <row r="91" spans="1:8" x14ac:dyDescent="0.25">
      <c r="A91" t="s">
        <v>259</v>
      </c>
      <c r="B91" t="s">
        <v>59</v>
      </c>
      <c r="C91" t="s">
        <v>90</v>
      </c>
      <c r="D91" s="26">
        <f>[2]妇科!$N$5</f>
        <v>68.290000000000006</v>
      </c>
      <c r="E91" s="26">
        <f>[2]妇科!$H$5</f>
        <v>68.290000000000006</v>
      </c>
      <c r="F91" s="26">
        <f>[2]妇科!$B$5</f>
        <v>67.319999999999993</v>
      </c>
      <c r="G91" t="s">
        <v>59</v>
      </c>
      <c r="H91" t="s">
        <v>59</v>
      </c>
    </row>
    <row r="92" spans="1:8" x14ac:dyDescent="0.25">
      <c r="A92" t="s">
        <v>260</v>
      </c>
      <c r="B92" t="s">
        <v>14</v>
      </c>
      <c r="C92" t="s">
        <v>90</v>
      </c>
      <c r="D92" s="24">
        <f>[2]妇科!$Q$5</f>
        <v>14.6938775510204</v>
      </c>
      <c r="E92" s="24">
        <f>[2]妇科!$K$5</f>
        <v>14.4428503108561</v>
      </c>
      <c r="F92" s="24">
        <f>[2]妇科!$E$5</f>
        <v>16.480965645310999</v>
      </c>
      <c r="G92" t="s">
        <v>59</v>
      </c>
      <c r="H92" t="s">
        <v>59</v>
      </c>
    </row>
    <row r="93" spans="1:8" x14ac:dyDescent="0.25">
      <c r="A93" t="s">
        <v>261</v>
      </c>
      <c r="B93" t="s">
        <v>59</v>
      </c>
      <c r="C93" t="s">
        <v>90</v>
      </c>
      <c r="D93" s="27" t="str">
        <f>[2]妇科!$O$6</f>
        <v>子宫颈锥形电切术</v>
      </c>
      <c r="E93" s="27" t="str">
        <f>[2]妇科!$I$6</f>
        <v>子宫颈锥形电切除(LpLLETZ)</v>
      </c>
      <c r="F93" s="27" t="str">
        <f>[2]妇科!$C$6</f>
        <v>子宫病损切除术，经腹腔镜</v>
      </c>
      <c r="G93" t="s">
        <v>59</v>
      </c>
      <c r="H93" t="s">
        <v>59</v>
      </c>
    </row>
    <row r="94" spans="1:8" x14ac:dyDescent="0.25">
      <c r="A94" t="s">
        <v>262</v>
      </c>
      <c r="B94" t="s">
        <v>59</v>
      </c>
      <c r="C94" t="s">
        <v>90</v>
      </c>
      <c r="D94" s="28">
        <f>[2]妇科!$N$6</f>
        <v>67.319999999999993</v>
      </c>
      <c r="E94" s="28">
        <f>[2]妇科!$H$6</f>
        <v>67.319999999999993</v>
      </c>
      <c r="F94" s="28">
        <f>[2]妇科!$B$6</f>
        <v>68.290000000000006</v>
      </c>
      <c r="G94" t="s">
        <v>59</v>
      </c>
      <c r="H94" t="s">
        <v>59</v>
      </c>
    </row>
    <row r="95" spans="1:8" x14ac:dyDescent="0.25">
      <c r="A95" t="s">
        <v>263</v>
      </c>
      <c r="B95" t="s">
        <v>14</v>
      </c>
      <c r="C95" t="s">
        <v>90</v>
      </c>
      <c r="D95" s="24">
        <f>[2]妇科!$Q$6</f>
        <v>12.0181405895692</v>
      </c>
      <c r="E95" s="24">
        <f>[2]妇科!$K$6</f>
        <v>12.864658058345301</v>
      </c>
      <c r="F95" s="24">
        <f>[2]妇科!$E$6</f>
        <v>12.3955431754875</v>
      </c>
      <c r="G95" t="s">
        <v>59</v>
      </c>
      <c r="H95" t="s">
        <v>59</v>
      </c>
    </row>
    <row r="96" spans="1:8" x14ac:dyDescent="0.25">
      <c r="A96" t="s">
        <v>264</v>
      </c>
      <c r="B96" t="s">
        <v>59</v>
      </c>
      <c r="C96" t="s">
        <v>90</v>
      </c>
      <c r="D96" s="24" t="str">
        <f>[2]妇科!$O$7</f>
        <v>腹腔镜卵巢病损切除术</v>
      </c>
      <c r="E96" s="24" t="str">
        <f>[2]妇科!$I$7</f>
        <v>输卵管妊娠清除伴输卵管切除术，经腹腔镜</v>
      </c>
      <c r="F96" s="24" t="str">
        <f>[2]妇科!$C$7</f>
        <v>输卵管妊娠清除伴输卵管切除术，经腹腔镜</v>
      </c>
      <c r="G96" t="s">
        <v>59</v>
      </c>
      <c r="H96" t="s">
        <v>59</v>
      </c>
    </row>
    <row r="97" spans="1:8" x14ac:dyDescent="0.25">
      <c r="A97" t="s">
        <v>265</v>
      </c>
      <c r="B97" t="s">
        <v>59</v>
      </c>
      <c r="C97" t="s">
        <v>90</v>
      </c>
      <c r="D97" s="25">
        <f>[2]妇科!$N$7</f>
        <v>65.25</v>
      </c>
      <c r="E97" s="25">
        <f>[2]妇科!$H$7</f>
        <v>66.62</v>
      </c>
      <c r="F97" s="25">
        <f>[2]妇科!$B$7</f>
        <v>66.62</v>
      </c>
      <c r="G97" t="s">
        <v>59</v>
      </c>
      <c r="H97" t="s">
        <v>59</v>
      </c>
    </row>
    <row r="98" spans="1:8" x14ac:dyDescent="0.25">
      <c r="A98" t="s">
        <v>266</v>
      </c>
      <c r="B98" t="s">
        <v>14</v>
      </c>
      <c r="C98" t="s">
        <v>90</v>
      </c>
      <c r="D98" s="26">
        <f>[2]妇科!$Q$7</f>
        <v>8.6621315192743804</v>
      </c>
      <c r="E98" s="26">
        <f>[2]妇科!$K$7</f>
        <v>7.3648971783835497</v>
      </c>
      <c r="F98" s="26">
        <f>[2]妇科!$E$7</f>
        <v>9.0993500464252595</v>
      </c>
      <c r="G98" t="s">
        <v>59</v>
      </c>
      <c r="H98" t="s">
        <v>59</v>
      </c>
    </row>
    <row r="99" spans="1:8" x14ac:dyDescent="0.25">
      <c r="A99" t="s">
        <v>267</v>
      </c>
      <c r="B99" t="s">
        <v>59</v>
      </c>
      <c r="C99" t="s">
        <v>90</v>
      </c>
      <c r="D99" s="24" t="str">
        <f>[2]妇科!$O$8</f>
        <v>腹腔镜输卵管切除伴输卵管妊娠去除术</v>
      </c>
      <c r="E99" s="24" t="str">
        <f>[2]妇科!$I$8</f>
        <v>卵巢病损切除术，经腹腔镜</v>
      </c>
      <c r="F99" s="24" t="str">
        <f>[2]妇科!$C$8</f>
        <v>卵巢病损切除术，经腹腔镜</v>
      </c>
      <c r="G99" t="s">
        <v>59</v>
      </c>
      <c r="H99" t="s">
        <v>59</v>
      </c>
    </row>
    <row r="100" spans="1:8" x14ac:dyDescent="0.25">
      <c r="A100" t="s">
        <v>268</v>
      </c>
      <c r="B100" t="s">
        <v>59</v>
      </c>
      <c r="C100" t="s">
        <v>90</v>
      </c>
      <c r="D100" s="10">
        <f>[2]妇科!$N$8</f>
        <v>66.62</v>
      </c>
      <c r="E100" s="10">
        <f>[2]妇科!$H$8</f>
        <v>65.25</v>
      </c>
      <c r="F100" s="10">
        <f>[2]妇科!$B$8</f>
        <v>65.25</v>
      </c>
      <c r="G100" t="s">
        <v>59</v>
      </c>
      <c r="H100" t="s">
        <v>59</v>
      </c>
    </row>
    <row r="101" spans="1:8" x14ac:dyDescent="0.25">
      <c r="A101" t="s">
        <v>269</v>
      </c>
      <c r="B101" t="s">
        <v>14</v>
      </c>
      <c r="C101" t="s">
        <v>90</v>
      </c>
      <c r="D101" s="10">
        <f>[2]妇科!$Q$8</f>
        <v>5.9863945578231297</v>
      </c>
      <c r="E101" s="10">
        <f>[2]妇科!$K$8</f>
        <v>6.4562410329985704</v>
      </c>
      <c r="F101" s="10">
        <f>[2]妇科!$E$8</f>
        <v>7.3351903435468904</v>
      </c>
      <c r="G101" t="s">
        <v>59</v>
      </c>
      <c r="H101" t="s">
        <v>59</v>
      </c>
    </row>
  </sheetData>
  <phoneticPr fontId="10" type="noConversion"/>
  <conditionalFormatting sqref="D88">
    <cfRule type="duplicateValues" dxfId="203" priority="12"/>
  </conditionalFormatting>
  <conditionalFormatting sqref="E88">
    <cfRule type="duplicateValues" dxfId="202" priority="4"/>
  </conditionalFormatting>
  <conditionalFormatting sqref="F88">
    <cfRule type="duplicateValues" dxfId="201" priority="8"/>
  </conditionalFormatting>
  <conditionalFormatting sqref="D91">
    <cfRule type="duplicateValues" dxfId="200" priority="11"/>
  </conditionalFormatting>
  <conditionalFormatting sqref="E91">
    <cfRule type="duplicateValues" dxfId="199" priority="3"/>
  </conditionalFormatting>
  <conditionalFormatting sqref="F91">
    <cfRule type="duplicateValues" dxfId="198" priority="7"/>
  </conditionalFormatting>
  <conditionalFormatting sqref="D94">
    <cfRule type="duplicateValues" dxfId="197" priority="9"/>
  </conditionalFormatting>
  <conditionalFormatting sqref="E94">
    <cfRule type="duplicateValues" dxfId="196" priority="1"/>
  </conditionalFormatting>
  <conditionalFormatting sqref="F94">
    <cfRule type="duplicateValues" dxfId="195" priority="5"/>
  </conditionalFormatting>
  <conditionalFormatting sqref="D98">
    <cfRule type="duplicateValues" dxfId="194" priority="10"/>
  </conditionalFormatting>
  <conditionalFormatting sqref="E98">
    <cfRule type="duplicateValues" dxfId="193" priority="2"/>
  </conditionalFormatting>
  <conditionalFormatting sqref="F98">
    <cfRule type="duplicateValues" dxfId="192" priority="6"/>
  </conditionalFormatting>
  <pageMargins left="0.69930555555555596" right="0.69930555555555596" top="0.75" bottom="0.75" header="0.3" footer="0.3"/>
  <ignoredErrors>
    <ignoredError sqref="A2:B31 G21:H31 G2:H5 G6:H14 G15:H15 G16:H17 G18:H20 G34:H57 G58:H59 G60:H71 G72:H86 G87:H101 A34:B101 A1:H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44.786814761734099</v>
      </c>
      <c r="E2" s="5">
        <v>35.476443499822899</v>
      </c>
      <c r="F2" s="5">
        <v>29.813760197013998</v>
      </c>
      <c r="G2" t="s">
        <v>16</v>
      </c>
      <c r="H2" t="s">
        <v>17</v>
      </c>
    </row>
    <row r="3" spans="1:8" x14ac:dyDescent="0.25">
      <c r="A3" t="s">
        <v>18</v>
      </c>
      <c r="B3" t="s">
        <v>14</v>
      </c>
      <c r="C3" t="s">
        <v>15</v>
      </c>
      <c r="D3" s="5">
        <v>7.8</v>
      </c>
      <c r="E3" s="5">
        <v>0.84872690963554698</v>
      </c>
      <c r="F3" s="5">
        <v>1.9617965926690799</v>
      </c>
      <c r="G3" t="s">
        <v>19</v>
      </c>
      <c r="H3" t="s">
        <v>20</v>
      </c>
    </row>
    <row r="4" spans="1:8" x14ac:dyDescent="0.25">
      <c r="A4" t="s">
        <v>21</v>
      </c>
      <c r="B4" t="s">
        <v>14</v>
      </c>
      <c r="C4" t="s">
        <v>15</v>
      </c>
      <c r="D4" s="5">
        <v>28.4</v>
      </c>
      <c r="E4" s="5">
        <v>14.827758362456301</v>
      </c>
      <c r="F4" s="5">
        <v>14.868353123386701</v>
      </c>
      <c r="G4" t="s">
        <v>22</v>
      </c>
      <c r="H4" t="s">
        <v>23</v>
      </c>
    </row>
    <row r="5" spans="1:8" x14ac:dyDescent="0.25">
      <c r="A5" t="s">
        <v>24</v>
      </c>
      <c r="B5" t="s">
        <v>14</v>
      </c>
      <c r="C5" t="s">
        <v>15</v>
      </c>
      <c r="D5" s="6">
        <v>81.599999999999994</v>
      </c>
      <c r="E5" s="6">
        <v>85.05</v>
      </c>
      <c r="F5" s="6">
        <v>87.56</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0.15</v>
      </c>
      <c r="F7" s="6">
        <v>0.24</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0.02</v>
      </c>
      <c r="E10" s="6">
        <v>0.14000000000000001</v>
      </c>
      <c r="F10" s="6">
        <v>0.12</v>
      </c>
      <c r="G10" t="s">
        <v>58</v>
      </c>
      <c r="H10" t="s">
        <v>59</v>
      </c>
    </row>
    <row r="11" spans="1:8" x14ac:dyDescent="0.25">
      <c r="A11" t="s">
        <v>63</v>
      </c>
      <c r="B11" t="s">
        <v>64</v>
      </c>
      <c r="C11" t="s">
        <v>61</v>
      </c>
      <c r="D11" s="5">
        <v>1.60072622266257</v>
      </c>
      <c r="E11" s="5">
        <v>2.81485382885498</v>
      </c>
      <c r="F11" s="5">
        <v>3.1358821503575798</v>
      </c>
      <c r="G11" t="s">
        <v>35</v>
      </c>
      <c r="H11" t="s">
        <v>65</v>
      </c>
    </row>
    <row r="12" spans="1:8" x14ac:dyDescent="0.25">
      <c r="A12" t="s">
        <v>66</v>
      </c>
      <c r="B12" t="s">
        <v>14</v>
      </c>
      <c r="C12" t="s">
        <v>61</v>
      </c>
      <c r="D12" s="6">
        <v>65.66</v>
      </c>
      <c r="E12" s="6">
        <v>57.12</v>
      </c>
      <c r="F12" s="6">
        <v>54.68</v>
      </c>
      <c r="G12" t="s">
        <v>39</v>
      </c>
      <c r="H12" t="s">
        <v>67</v>
      </c>
    </row>
    <row r="13" spans="1:8" x14ac:dyDescent="0.25">
      <c r="A13" t="s">
        <v>68</v>
      </c>
      <c r="B13" t="s">
        <v>14</v>
      </c>
      <c r="C13" t="s">
        <v>61</v>
      </c>
      <c r="D13" s="6">
        <v>98.83</v>
      </c>
      <c r="E13" s="6">
        <v>94.85</v>
      </c>
      <c r="F13" s="6">
        <v>83.4</v>
      </c>
      <c r="G13" t="s">
        <v>39</v>
      </c>
      <c r="H13" t="s">
        <v>69</v>
      </c>
    </row>
    <row r="14" spans="1:8" x14ac:dyDescent="0.25">
      <c r="A14" t="s">
        <v>74</v>
      </c>
      <c r="B14" t="s">
        <v>14</v>
      </c>
      <c r="C14" t="s">
        <v>75</v>
      </c>
      <c r="D14" s="5">
        <f>(302540+48840)/56061415*100</f>
        <v>0.62677690172465328</v>
      </c>
      <c r="E14" s="5">
        <f>236467/49617724*100</f>
        <v>0.47657768421622887</v>
      </c>
      <c r="F14" s="5">
        <f>23400/52577102*100</f>
        <v>4.4506066538243211E-2</v>
      </c>
      <c r="G14" t="s">
        <v>35</v>
      </c>
      <c r="H14" t="s">
        <v>76</v>
      </c>
    </row>
    <row r="15" spans="1:8" x14ac:dyDescent="0.25">
      <c r="A15" t="s">
        <v>91</v>
      </c>
      <c r="B15" t="s">
        <v>92</v>
      </c>
      <c r="C15" t="s">
        <v>15</v>
      </c>
      <c r="D15" s="6">
        <v>4.67</v>
      </c>
      <c r="E15" s="6">
        <v>5.46</v>
      </c>
      <c r="F15" s="6">
        <v>4.96</v>
      </c>
      <c r="G15" t="s">
        <v>93</v>
      </c>
      <c r="H15" t="s">
        <v>94</v>
      </c>
    </row>
    <row r="16" spans="1:8" x14ac:dyDescent="0.25">
      <c r="A16" t="s">
        <v>95</v>
      </c>
      <c r="B16" t="s">
        <v>59</v>
      </c>
      <c r="C16" t="s">
        <v>34</v>
      </c>
      <c r="D16" s="6">
        <v>0.99</v>
      </c>
      <c r="E16" s="6">
        <v>0.92</v>
      </c>
      <c r="F16" s="6">
        <v>0.92</v>
      </c>
      <c r="G16" t="s">
        <v>96</v>
      </c>
      <c r="H16" t="s">
        <v>59</v>
      </c>
    </row>
    <row r="17" spans="1:8" x14ac:dyDescent="0.25">
      <c r="A17" t="s">
        <v>97</v>
      </c>
      <c r="B17" t="s">
        <v>98</v>
      </c>
      <c r="C17" t="s">
        <v>34</v>
      </c>
      <c r="D17" s="6">
        <v>78</v>
      </c>
      <c r="E17" s="6">
        <v>71</v>
      </c>
      <c r="F17" s="6">
        <v>91</v>
      </c>
      <c r="G17" t="s">
        <v>99</v>
      </c>
      <c r="H17" t="s">
        <v>59</v>
      </c>
    </row>
    <row r="18" spans="1:8" x14ac:dyDescent="0.25">
      <c r="A18" t="s">
        <v>104</v>
      </c>
      <c r="B18" t="s">
        <v>105</v>
      </c>
      <c r="C18" t="s">
        <v>15</v>
      </c>
      <c r="D18" s="6">
        <v>85</v>
      </c>
      <c r="E18" s="6">
        <v>85</v>
      </c>
      <c r="F18" s="6">
        <v>85</v>
      </c>
      <c r="G18" t="s">
        <v>58</v>
      </c>
      <c r="H18" t="s">
        <v>59</v>
      </c>
    </row>
    <row r="19" spans="1:8" x14ac:dyDescent="0.25">
      <c r="A19" t="s">
        <v>106</v>
      </c>
      <c r="B19" t="s">
        <v>105</v>
      </c>
      <c r="C19" t="s">
        <v>15</v>
      </c>
      <c r="D19" s="6">
        <v>82</v>
      </c>
      <c r="E19" s="6">
        <v>85</v>
      </c>
      <c r="F19" s="6">
        <v>80</v>
      </c>
      <c r="G19" t="s">
        <v>58</v>
      </c>
      <c r="H19" t="s">
        <v>59</v>
      </c>
    </row>
    <row r="20" spans="1:8" x14ac:dyDescent="0.25">
      <c r="A20" t="s">
        <v>107</v>
      </c>
      <c r="B20" t="s">
        <v>14</v>
      </c>
      <c r="C20" t="s">
        <v>15</v>
      </c>
      <c r="D20" s="6">
        <v>86.33</v>
      </c>
      <c r="E20" s="6">
        <v>102.94</v>
      </c>
      <c r="F20" s="6">
        <v>112.15</v>
      </c>
      <c r="G20" t="s">
        <v>58</v>
      </c>
      <c r="H20" t="s">
        <v>108</v>
      </c>
    </row>
    <row r="21" spans="1:8" x14ac:dyDescent="0.25">
      <c r="A21" t="s">
        <v>112</v>
      </c>
      <c r="B21" t="s">
        <v>59</v>
      </c>
      <c r="C21" t="s">
        <v>102</v>
      </c>
      <c r="D21" s="5">
        <f t="shared" ref="D21:F21" si="0">D43/D19</f>
        <v>0.15853658536585366</v>
      </c>
      <c r="E21" s="5">
        <f t="shared" si="0"/>
        <v>0.14117647058823529</v>
      </c>
      <c r="F21" s="5">
        <f t="shared" si="0"/>
        <v>0.15</v>
      </c>
      <c r="G21" t="s">
        <v>110</v>
      </c>
      <c r="H21" t="s">
        <v>113</v>
      </c>
    </row>
    <row r="22" spans="1:8" x14ac:dyDescent="0.25">
      <c r="A22" t="s">
        <v>114</v>
      </c>
      <c r="B22" t="s">
        <v>59</v>
      </c>
      <c r="C22" t="s">
        <v>102</v>
      </c>
      <c r="D22" s="5">
        <f t="shared" ref="D22:F22" si="1">D44/D19</f>
        <v>0.31707317073170732</v>
      </c>
      <c r="E22" s="5">
        <f t="shared" si="1"/>
        <v>0.47058823529411764</v>
      </c>
      <c r="F22" s="5">
        <f t="shared" si="1"/>
        <v>0.48749999999999999</v>
      </c>
      <c r="G22" t="s">
        <v>110</v>
      </c>
      <c r="H22" t="s">
        <v>115</v>
      </c>
    </row>
    <row r="23" spans="1:8" x14ac:dyDescent="0.25">
      <c r="A23" t="s">
        <v>116</v>
      </c>
      <c r="B23" t="s">
        <v>117</v>
      </c>
      <c r="C23" t="s">
        <v>118</v>
      </c>
      <c r="D23" s="5">
        <v>31.202978978260901</v>
      </c>
      <c r="E23" s="5">
        <v>22.2329078909091</v>
      </c>
      <c r="F23" s="5">
        <v>22.354121696428599</v>
      </c>
      <c r="G23" t="s">
        <v>119</v>
      </c>
      <c r="H23" t="s">
        <v>59</v>
      </c>
    </row>
    <row r="24" spans="1:8" x14ac:dyDescent="0.25">
      <c r="A24" t="s">
        <v>120</v>
      </c>
      <c r="B24" t="s">
        <v>117</v>
      </c>
      <c r="C24" t="s">
        <v>118</v>
      </c>
      <c r="D24" s="5">
        <v>81.856735108695602</v>
      </c>
      <c r="E24" s="5">
        <v>58.974829054545502</v>
      </c>
      <c r="F24" s="5">
        <v>55.852576392857102</v>
      </c>
      <c r="G24" t="s">
        <v>121</v>
      </c>
      <c r="H24" t="s">
        <v>59</v>
      </c>
    </row>
    <row r="25" spans="1:8" x14ac:dyDescent="0.25">
      <c r="A25" t="s">
        <v>122</v>
      </c>
      <c r="B25" t="s">
        <v>117</v>
      </c>
      <c r="C25" t="s">
        <v>118</v>
      </c>
      <c r="D25" s="5">
        <v>17.2953010362694</v>
      </c>
      <c r="E25" s="5">
        <v>14.895967036179799</v>
      </c>
      <c r="F25" s="5">
        <v>15.6478851875</v>
      </c>
      <c r="G25" t="s">
        <v>123</v>
      </c>
      <c r="H25" t="s">
        <v>59</v>
      </c>
    </row>
    <row r="26" spans="1:8" x14ac:dyDescent="0.25">
      <c r="A26" t="s">
        <v>124</v>
      </c>
      <c r="B26" t="s">
        <v>117</v>
      </c>
      <c r="C26" t="s">
        <v>118</v>
      </c>
      <c r="D26" s="5">
        <v>45.3718498011809</v>
      </c>
      <c r="E26" s="5">
        <v>39.512919941527599</v>
      </c>
      <c r="F26" s="5">
        <v>39.096803475000002</v>
      </c>
      <c r="G26" t="s">
        <v>125</v>
      </c>
      <c r="H26" t="s">
        <v>59</v>
      </c>
    </row>
    <row r="27" spans="1:8" x14ac:dyDescent="0.25">
      <c r="A27" t="s">
        <v>126</v>
      </c>
      <c r="B27" t="s">
        <v>127</v>
      </c>
      <c r="C27" t="s">
        <v>118</v>
      </c>
      <c r="D27" s="5">
        <v>5.51064278187566</v>
      </c>
      <c r="E27" s="5">
        <v>7.0611872146118699</v>
      </c>
      <c r="F27" s="5">
        <v>7.4767123287671202</v>
      </c>
      <c r="G27" t="s">
        <v>39</v>
      </c>
      <c r="H27" t="s">
        <v>128</v>
      </c>
    </row>
    <row r="28" spans="1:8" x14ac:dyDescent="0.25">
      <c r="A28" t="s">
        <v>129</v>
      </c>
      <c r="B28" t="s">
        <v>14</v>
      </c>
      <c r="C28" t="s">
        <v>118</v>
      </c>
      <c r="D28" s="5">
        <v>23.679198777509001</v>
      </c>
      <c r="E28" s="5">
        <v>23.177579270698299</v>
      </c>
      <c r="F28" s="5">
        <v>22.855242740851299</v>
      </c>
      <c r="G28" t="s">
        <v>130</v>
      </c>
      <c r="H28" t="s">
        <v>131</v>
      </c>
    </row>
    <row r="29" spans="1:8" x14ac:dyDescent="0.25">
      <c r="A29" t="s">
        <v>132</v>
      </c>
      <c r="B29" t="s">
        <v>117</v>
      </c>
      <c r="C29" t="s">
        <v>118</v>
      </c>
      <c r="D29" s="5">
        <v>6061.5945940000001</v>
      </c>
      <c r="E29" s="5">
        <v>5275.8310940000001</v>
      </c>
      <c r="F29" s="5">
        <v>5477.2151370000001</v>
      </c>
      <c r="G29" t="s">
        <v>59</v>
      </c>
      <c r="H29" t="s">
        <v>133</v>
      </c>
    </row>
    <row r="30" spans="1:8" x14ac:dyDescent="0.25">
      <c r="A30" t="s">
        <v>134</v>
      </c>
      <c r="B30" t="s">
        <v>117</v>
      </c>
      <c r="C30" t="s">
        <v>118</v>
      </c>
      <c r="D30" s="5">
        <v>1435.337033</v>
      </c>
      <c r="E30" s="5">
        <v>1222.8099340000001</v>
      </c>
      <c r="F30" s="5">
        <v>1251.830815</v>
      </c>
      <c r="G30" t="s">
        <v>59</v>
      </c>
      <c r="H30" t="s">
        <v>59</v>
      </c>
    </row>
    <row r="31" spans="1:8" x14ac:dyDescent="0.25">
      <c r="A31" t="s">
        <v>135</v>
      </c>
      <c r="B31" t="s">
        <v>117</v>
      </c>
      <c r="C31" t="s">
        <v>118</v>
      </c>
      <c r="D31" s="5">
        <v>3765.409815</v>
      </c>
      <c r="E31" s="5">
        <v>3243.6155979999999</v>
      </c>
      <c r="F31" s="5">
        <v>3127.7442780000001</v>
      </c>
      <c r="G31" t="s">
        <v>59</v>
      </c>
      <c r="H31" t="s">
        <v>136</v>
      </c>
    </row>
    <row r="32" spans="1:8" x14ac:dyDescent="0.25">
      <c r="A32" t="s">
        <v>216</v>
      </c>
      <c r="B32" t="s">
        <v>117</v>
      </c>
      <c r="D32" s="17">
        <v>3553.46</v>
      </c>
      <c r="E32" s="17">
        <v>3258.84</v>
      </c>
      <c r="F32" s="17">
        <v>3606.82</v>
      </c>
    </row>
    <row r="33" spans="1:8" x14ac:dyDescent="0.25">
      <c r="A33" t="s">
        <v>143</v>
      </c>
      <c r="B33" t="s">
        <v>14</v>
      </c>
      <c r="D33" s="15">
        <v>6.14</v>
      </c>
      <c r="E33" s="15">
        <v>9.3000000000000007</v>
      </c>
      <c r="F33" s="15">
        <v>19.77</v>
      </c>
    </row>
    <row r="34" spans="1:8" x14ac:dyDescent="0.25">
      <c r="A34" t="s">
        <v>137</v>
      </c>
      <c r="B34" t="s">
        <v>138</v>
      </c>
      <c r="C34" t="s">
        <v>139</v>
      </c>
      <c r="D34" s="6"/>
      <c r="E34" s="6"/>
      <c r="F34" s="6"/>
      <c r="G34" t="s">
        <v>35</v>
      </c>
      <c r="H34" t="s">
        <v>140</v>
      </c>
    </row>
    <row r="35" spans="1:8" x14ac:dyDescent="0.25">
      <c r="A35" t="s">
        <v>217</v>
      </c>
      <c r="B35" t="s">
        <v>14</v>
      </c>
      <c r="C35" t="s">
        <v>118</v>
      </c>
      <c r="D35" s="5">
        <v>18.457595120390501</v>
      </c>
      <c r="E35" s="5">
        <v>16.486995859083098</v>
      </c>
      <c r="F35" s="5">
        <v>14.246372553979899</v>
      </c>
      <c r="G35" t="s">
        <v>22</v>
      </c>
      <c r="H35" t="s">
        <v>218</v>
      </c>
    </row>
    <row r="36" spans="1:8" x14ac:dyDescent="0.25">
      <c r="A36" t="s">
        <v>219</v>
      </c>
      <c r="B36" t="s">
        <v>14</v>
      </c>
      <c r="C36" t="s">
        <v>118</v>
      </c>
      <c r="D36" s="5">
        <v>81.542404879609506</v>
      </c>
      <c r="E36" s="5">
        <v>83.513004140916905</v>
      </c>
      <c r="F36" s="5">
        <v>85.753627446020104</v>
      </c>
      <c r="G36" t="s">
        <v>22</v>
      </c>
      <c r="H36" t="s">
        <v>220</v>
      </c>
    </row>
    <row r="37" spans="1:8" x14ac:dyDescent="0.25">
      <c r="A37" t="s">
        <v>144</v>
      </c>
      <c r="B37" t="s">
        <v>14</v>
      </c>
      <c r="C37" t="s">
        <v>118</v>
      </c>
      <c r="D37" s="5">
        <v>14.8936439776023</v>
      </c>
      <c r="E37" s="5">
        <v>-3.6767597759598498</v>
      </c>
      <c r="F37" s="5">
        <v>24.008013169544</v>
      </c>
      <c r="G37" t="s">
        <v>35</v>
      </c>
      <c r="H37" t="s">
        <v>145</v>
      </c>
    </row>
    <row r="38" spans="1:8" x14ac:dyDescent="0.25">
      <c r="A38" t="s">
        <v>146</v>
      </c>
      <c r="B38" t="s">
        <v>14</v>
      </c>
      <c r="C38" t="s">
        <v>118</v>
      </c>
      <c r="D38" s="5">
        <v>6.5654787212881898</v>
      </c>
      <c r="E38" s="5">
        <v>18.436958113213699</v>
      </c>
      <c r="F38" s="5">
        <v>13.4198441232602</v>
      </c>
      <c r="G38" t="s">
        <v>35</v>
      </c>
      <c r="H38" t="s">
        <v>147</v>
      </c>
    </row>
    <row r="39" spans="1:8" x14ac:dyDescent="0.25">
      <c r="A39" t="s">
        <v>148</v>
      </c>
      <c r="B39" t="s">
        <v>14</v>
      </c>
      <c r="C39" t="s">
        <v>118</v>
      </c>
      <c r="D39" s="5">
        <v>13.495084657422201</v>
      </c>
      <c r="E39" s="5">
        <v>9.3358433411512909</v>
      </c>
      <c r="F39" s="5">
        <v>2.3591809698372299</v>
      </c>
      <c r="G39" t="s">
        <v>35</v>
      </c>
      <c r="H39" t="s">
        <v>149</v>
      </c>
    </row>
    <row r="40" spans="1:8" x14ac:dyDescent="0.25">
      <c r="A40" t="s">
        <v>150</v>
      </c>
      <c r="B40" t="s">
        <v>14</v>
      </c>
      <c r="C40" t="s">
        <v>118</v>
      </c>
      <c r="D40" s="5">
        <v>6.3691149878191302</v>
      </c>
      <c r="E40" s="5">
        <v>90.876534976474503</v>
      </c>
      <c r="F40" s="5">
        <v>14.024844251805</v>
      </c>
      <c r="G40" t="s">
        <v>35</v>
      </c>
      <c r="H40" t="s">
        <v>151</v>
      </c>
    </row>
    <row r="41" spans="1:8" x14ac:dyDescent="0.25">
      <c r="A41" t="s">
        <v>152</v>
      </c>
      <c r="B41" t="s">
        <v>14</v>
      </c>
      <c r="C41" t="s">
        <v>118</v>
      </c>
      <c r="D41" s="5">
        <v>10.3912318674156</v>
      </c>
      <c r="E41" s="5">
        <v>-7.3570170666033201</v>
      </c>
      <c r="F41" s="5">
        <v>25.4382821958642</v>
      </c>
      <c r="G41" t="s">
        <v>35</v>
      </c>
      <c r="H41" t="s">
        <v>153</v>
      </c>
    </row>
    <row r="42" spans="1:8" x14ac:dyDescent="0.25">
      <c r="A42" t="s">
        <v>164</v>
      </c>
      <c r="B42" t="s">
        <v>59</v>
      </c>
      <c r="C42" t="s">
        <v>102</v>
      </c>
      <c r="D42" s="6">
        <v>0.5</v>
      </c>
      <c r="E42" s="6">
        <v>0.3</v>
      </c>
      <c r="F42" s="6">
        <v>0.31</v>
      </c>
      <c r="G42" t="s">
        <v>165</v>
      </c>
      <c r="H42" t="s">
        <v>166</v>
      </c>
    </row>
    <row r="43" spans="1:8" x14ac:dyDescent="0.25">
      <c r="A43" t="s">
        <v>167</v>
      </c>
      <c r="B43" t="s">
        <v>101</v>
      </c>
      <c r="C43" t="s">
        <v>102</v>
      </c>
      <c r="D43" s="6">
        <v>13</v>
      </c>
      <c r="E43" s="6">
        <v>12</v>
      </c>
      <c r="F43" s="6">
        <v>12</v>
      </c>
      <c r="G43" t="s">
        <v>168</v>
      </c>
      <c r="H43" t="s">
        <v>59</v>
      </c>
    </row>
    <row r="44" spans="1:8" x14ac:dyDescent="0.25">
      <c r="A44" t="s">
        <v>169</v>
      </c>
      <c r="B44" t="s">
        <v>101</v>
      </c>
      <c r="C44" t="s">
        <v>102</v>
      </c>
      <c r="D44" s="6">
        <v>26</v>
      </c>
      <c r="E44" s="6">
        <v>40</v>
      </c>
      <c r="F44" s="6">
        <v>39</v>
      </c>
      <c r="G44" t="s">
        <v>168</v>
      </c>
      <c r="H44" t="s">
        <v>59</v>
      </c>
    </row>
    <row r="45" spans="1:8" x14ac:dyDescent="0.25">
      <c r="A45" t="s">
        <v>221</v>
      </c>
      <c r="B45" t="s">
        <v>14</v>
      </c>
      <c r="C45" t="s">
        <v>102</v>
      </c>
      <c r="D45" s="6">
        <v>53.85</v>
      </c>
      <c r="E45" s="6">
        <v>58.33</v>
      </c>
      <c r="F45" s="6">
        <v>50</v>
      </c>
      <c r="G45" t="s">
        <v>59</v>
      </c>
      <c r="H45" t="s">
        <v>222</v>
      </c>
    </row>
    <row r="46" spans="1:8" x14ac:dyDescent="0.25">
      <c r="A46" t="s">
        <v>223</v>
      </c>
      <c r="B46" t="s">
        <v>14</v>
      </c>
      <c r="C46" t="s">
        <v>102</v>
      </c>
      <c r="D46" s="6">
        <v>7.69</v>
      </c>
      <c r="E46" s="6">
        <v>8.33</v>
      </c>
      <c r="F46" s="6">
        <v>0</v>
      </c>
      <c r="G46" t="s">
        <v>59</v>
      </c>
      <c r="H46" t="s">
        <v>224</v>
      </c>
    </row>
    <row r="47" spans="1:8" x14ac:dyDescent="0.25">
      <c r="A47" t="s">
        <v>225</v>
      </c>
      <c r="B47" t="s">
        <v>14</v>
      </c>
      <c r="C47" t="s">
        <v>102</v>
      </c>
      <c r="D47" s="6">
        <v>76.92</v>
      </c>
      <c r="E47" s="6">
        <v>75</v>
      </c>
      <c r="F47" s="6">
        <v>75</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17888273.179487199</v>
      </c>
      <c r="E51" s="6">
        <v>6274706.4038461503</v>
      </c>
      <c r="F51" s="6">
        <v>1699036.0588235301</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8.3000000000000004E-2</v>
      </c>
      <c r="G54" t="s">
        <v>205</v>
      </c>
      <c r="H54" t="s">
        <v>59</v>
      </c>
    </row>
    <row r="55" spans="1:8" x14ac:dyDescent="0.25">
      <c r="A55" t="s">
        <v>206</v>
      </c>
      <c r="B55" t="s">
        <v>207</v>
      </c>
      <c r="C55" t="s">
        <v>176</v>
      </c>
      <c r="D55" s="6">
        <v>0</v>
      </c>
      <c r="E55" s="6">
        <v>0</v>
      </c>
      <c r="F55" s="6">
        <v>0.22700000000000001</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15.38</v>
      </c>
      <c r="E57" s="6">
        <v>16.670000000000002</v>
      </c>
      <c r="F57" s="6">
        <v>0</v>
      </c>
      <c r="G57" t="s">
        <v>59</v>
      </c>
      <c r="H57" t="s">
        <v>211</v>
      </c>
    </row>
    <row r="58" spans="1:8" x14ac:dyDescent="0.25">
      <c r="A58" t="s">
        <v>212</v>
      </c>
      <c r="B58" t="s">
        <v>14</v>
      </c>
      <c r="C58" t="s">
        <v>15</v>
      </c>
      <c r="D58" s="9">
        <v>2.5797205302758899</v>
      </c>
      <c r="E58" s="9">
        <v>3.9142755933404199</v>
      </c>
      <c r="F58" s="9">
        <v>4.30968139141142</v>
      </c>
      <c r="G58" t="s">
        <v>59</v>
      </c>
      <c r="H58" t="s">
        <v>213</v>
      </c>
    </row>
    <row r="59" spans="1:8" x14ac:dyDescent="0.25">
      <c r="A59" t="s">
        <v>214</v>
      </c>
      <c r="B59" t="s">
        <v>14</v>
      </c>
      <c r="C59" t="s">
        <v>15</v>
      </c>
      <c r="D59" s="5">
        <v>0.12540308133285599</v>
      </c>
      <c r="E59" s="5">
        <v>8.8558271342543404E-2</v>
      </c>
      <c r="F59" s="5">
        <v>0.23087578882561199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[1]头颈乳腺外科!$O$4</f>
        <v>为肿瘤化学治疗疗程</v>
      </c>
      <c r="E72" s="10" t="str">
        <f>[1]头颈乳腺外科!$I$4</f>
        <v>为肿瘤化学治疗疗程</v>
      </c>
      <c r="F72" s="10" t="str">
        <f>[1]头颈乳腺外科!$C$4</f>
        <v>为肿瘤化学治疗疗程</v>
      </c>
      <c r="G72" t="s">
        <v>59</v>
      </c>
      <c r="H72" t="s">
        <v>59</v>
      </c>
    </row>
    <row r="73" spans="1:8" x14ac:dyDescent="0.25">
      <c r="A73" t="s">
        <v>241</v>
      </c>
      <c r="B73" t="s">
        <v>59</v>
      </c>
      <c r="C73" t="s">
        <v>90</v>
      </c>
      <c r="D73" s="10" t="str">
        <f>[1]头颈乳腺外科!$N$4</f>
        <v>Z51.1</v>
      </c>
      <c r="E73" s="10" t="str">
        <f>[1]头颈乳腺外科!$H$4</f>
        <v>Z51.1</v>
      </c>
      <c r="F73" s="10" t="str">
        <f>[1]头颈乳腺外科!$B$4</f>
        <v>Z51.1</v>
      </c>
      <c r="G73" t="s">
        <v>59</v>
      </c>
      <c r="H73" t="s">
        <v>59</v>
      </c>
    </row>
    <row r="74" spans="1:8" x14ac:dyDescent="0.25">
      <c r="A74" t="s">
        <v>242</v>
      </c>
      <c r="B74" t="s">
        <v>14</v>
      </c>
      <c r="C74" t="s">
        <v>90</v>
      </c>
      <c r="D74" s="10">
        <f>[1]头颈乳腺外科!$Q$4</f>
        <v>50.931565747044097</v>
      </c>
      <c r="E74" s="10">
        <f>[1]头颈乳腺外科!$K$4</f>
        <v>61.300035423308501</v>
      </c>
      <c r="F74" s="10">
        <f>[1]头颈乳腺外科!$E$4</f>
        <v>34.369709096506099</v>
      </c>
      <c r="G74" t="s">
        <v>59</v>
      </c>
      <c r="H74" t="s">
        <v>59</v>
      </c>
    </row>
    <row r="75" spans="1:8" x14ac:dyDescent="0.25">
      <c r="A75" t="s">
        <v>243</v>
      </c>
      <c r="B75" t="s">
        <v>59</v>
      </c>
      <c r="C75" t="s">
        <v>90</v>
      </c>
      <c r="D75" s="10" t="str">
        <f>[1]头颈乳腺外科!$O$5</f>
        <v>乳房恶性肿瘤</v>
      </c>
      <c r="E75" s="10" t="str">
        <f>[1]头颈乳腺外科!$I$5</f>
        <v>抗肿瘤治疗</v>
      </c>
      <c r="F75" s="10" t="str">
        <f>[1]头颈乳腺外科!$C$5</f>
        <v>抗肿瘤治疗</v>
      </c>
      <c r="G75" t="s">
        <v>59</v>
      </c>
      <c r="H75" t="s">
        <v>59</v>
      </c>
    </row>
    <row r="76" spans="1:8" x14ac:dyDescent="0.25">
      <c r="A76" t="s">
        <v>244</v>
      </c>
      <c r="B76" t="s">
        <v>59</v>
      </c>
      <c r="C76" t="s">
        <v>90</v>
      </c>
      <c r="D76" s="10" t="str">
        <f>[1]头颈乳腺外科!$N$5</f>
        <v>C50</v>
      </c>
      <c r="E76" s="10" t="str">
        <f>[1]头颈乳腺外科!$H$5</f>
        <v>Z51.8</v>
      </c>
      <c r="F76" s="10" t="str">
        <f>[1]头颈乳腺外科!$B$5</f>
        <v>Z51.8</v>
      </c>
      <c r="G76" t="s">
        <v>59</v>
      </c>
      <c r="H76" t="s">
        <v>59</v>
      </c>
    </row>
    <row r="77" spans="1:8" x14ac:dyDescent="0.25">
      <c r="A77" t="s">
        <v>245</v>
      </c>
      <c r="B77" t="s">
        <v>14</v>
      </c>
      <c r="C77" t="s">
        <v>90</v>
      </c>
      <c r="D77" s="10">
        <f>[1]头颈乳腺外科!$Q$5</f>
        <v>10.8025797205303</v>
      </c>
      <c r="E77" s="10">
        <f>[1]头颈乳腺外科!$K$5</f>
        <v>18.862911795961701</v>
      </c>
      <c r="F77" s="10">
        <f>[1]头颈乳腺外科!$E$5</f>
        <v>32.230260120055398</v>
      </c>
      <c r="G77" t="s">
        <v>59</v>
      </c>
      <c r="H77" t="s">
        <v>59</v>
      </c>
    </row>
    <row r="78" spans="1:8" x14ac:dyDescent="0.25">
      <c r="A78" t="s">
        <v>246</v>
      </c>
      <c r="B78" t="s">
        <v>59</v>
      </c>
      <c r="C78" t="s">
        <v>90</v>
      </c>
      <c r="D78" s="10" t="str">
        <f>[1]头颈乳腺外科!$O$6</f>
        <v>乳房纤维囊性乳腺病</v>
      </c>
      <c r="E78" s="10" t="str">
        <f>[1]头颈乳腺外科!$I$6</f>
        <v>乳房恶性肿瘤</v>
      </c>
      <c r="F78" s="10" t="str">
        <f>[1]头颈乳腺外科!$C$6</f>
        <v>乳房恶性肿瘤</v>
      </c>
      <c r="G78" t="s">
        <v>59</v>
      </c>
      <c r="H78" t="s">
        <v>59</v>
      </c>
    </row>
    <row r="79" spans="1:8" x14ac:dyDescent="0.25">
      <c r="A79" t="s">
        <v>247</v>
      </c>
      <c r="B79" t="s">
        <v>59</v>
      </c>
      <c r="C79" t="s">
        <v>90</v>
      </c>
      <c r="D79" s="10" t="str">
        <f>[1]头颈乳腺外科!$N$6</f>
        <v>N60.2</v>
      </c>
      <c r="E79" s="10" t="str">
        <f>[1]头颈乳腺外科!$H$6</f>
        <v>C50</v>
      </c>
      <c r="F79" s="10" t="str">
        <f>[1]头颈乳腺外科!$B$6</f>
        <v>C50</v>
      </c>
      <c r="G79" t="s">
        <v>59</v>
      </c>
      <c r="H79" t="s">
        <v>59</v>
      </c>
    </row>
    <row r="80" spans="1:8" x14ac:dyDescent="0.25">
      <c r="A80" t="s">
        <v>248</v>
      </c>
      <c r="B80" t="s">
        <v>14</v>
      </c>
      <c r="C80" t="s">
        <v>90</v>
      </c>
      <c r="D80" s="10">
        <f>[1]头颈乳腺外科!$Q$6</f>
        <v>10.4621999283411</v>
      </c>
      <c r="E80" s="10">
        <f>[1]头颈乳腺外科!$K$6</f>
        <v>8.7318455543747806</v>
      </c>
      <c r="F80" s="10">
        <f>[1]头颈乳腺外科!$E$6</f>
        <v>7.2648914883792504</v>
      </c>
      <c r="G80" t="s">
        <v>59</v>
      </c>
      <c r="H80" t="s">
        <v>59</v>
      </c>
    </row>
    <row r="81" spans="1:8" x14ac:dyDescent="0.25">
      <c r="A81" t="s">
        <v>249</v>
      </c>
      <c r="B81" t="s">
        <v>59</v>
      </c>
      <c r="C81" t="s">
        <v>90</v>
      </c>
      <c r="D81" s="10" t="str">
        <f>[1]头颈乳腺外科!$O$7</f>
        <v>抗肿瘤治疗</v>
      </c>
      <c r="E81" s="10" t="str">
        <f>[1]头颈乳腺外科!$I$7</f>
        <v>乳房纤维囊性乳腺病</v>
      </c>
      <c r="F81" s="10" t="str">
        <f>[1]头颈乳腺外科!$C$7</f>
        <v>乳房纤维囊性乳腺病</v>
      </c>
      <c r="G81" t="s">
        <v>59</v>
      </c>
      <c r="H81" t="s">
        <v>59</v>
      </c>
    </row>
    <row r="82" spans="1:8" x14ac:dyDescent="0.25">
      <c r="A82" t="s">
        <v>250</v>
      </c>
      <c r="B82" t="s">
        <v>59</v>
      </c>
      <c r="C82" t="s">
        <v>90</v>
      </c>
      <c r="D82" s="10" t="str">
        <f>[1]头颈乳腺外科!$N$7</f>
        <v>Z51.8</v>
      </c>
      <c r="E82" s="10" t="str">
        <f>[1]头颈乳腺外科!$H$7</f>
        <v>N60.2</v>
      </c>
      <c r="F82" s="10" t="str">
        <f>[1]头颈乳腺外科!$B$7</f>
        <v>N60.2</v>
      </c>
      <c r="G82" t="s">
        <v>59</v>
      </c>
      <c r="H82" t="s">
        <v>59</v>
      </c>
    </row>
    <row r="83" spans="1:8" x14ac:dyDescent="0.25">
      <c r="A83" t="s">
        <v>251</v>
      </c>
      <c r="B83" t="s">
        <v>14</v>
      </c>
      <c r="C83" t="s">
        <v>90</v>
      </c>
      <c r="D83" s="10">
        <f>[1]头颈乳腺外科!$Q$7</f>
        <v>7.7570763167323502</v>
      </c>
      <c r="E83" s="10">
        <f>[1]头颈乳腺外科!$K$7</f>
        <v>8.4661707403471507</v>
      </c>
      <c r="F83" s="10">
        <f>[1]头颈乳腺外科!$E$7</f>
        <v>6.0489456672310302</v>
      </c>
      <c r="G83" t="s">
        <v>59</v>
      </c>
      <c r="H83" t="s">
        <v>59</v>
      </c>
    </row>
    <row r="84" spans="1:8" x14ac:dyDescent="0.25">
      <c r="A84" t="s">
        <v>252</v>
      </c>
      <c r="B84" t="s">
        <v>59</v>
      </c>
      <c r="C84" t="s">
        <v>90</v>
      </c>
      <c r="D84" s="10" t="str">
        <f>[1]头颈乳腺外科!$O$8</f>
        <v>乳房良性肿瘤</v>
      </c>
      <c r="E84" s="10" t="str">
        <f>[1]头颈乳腺外科!$I$8</f>
        <v>乳房良性肿瘤</v>
      </c>
      <c r="F84" s="10" t="str">
        <f>[1]头颈乳腺外科!$C$8</f>
        <v>乳房良性肿瘤</v>
      </c>
      <c r="G84" t="s">
        <v>59</v>
      </c>
      <c r="H84" t="s">
        <v>59</v>
      </c>
    </row>
    <row r="85" spans="1:8" x14ac:dyDescent="0.25">
      <c r="A85" t="s">
        <v>253</v>
      </c>
      <c r="B85" t="s">
        <v>59</v>
      </c>
      <c r="C85" t="s">
        <v>90</v>
      </c>
      <c r="D85" s="10" t="str">
        <f>[1]头颈乳腺外科!$N$8</f>
        <v>D24</v>
      </c>
      <c r="E85" s="10" t="str">
        <f>[1]头颈乳腺外科!$H$8</f>
        <v>D24</v>
      </c>
      <c r="F85" s="10" t="str">
        <f>[1]头颈乳腺外科!$B$8</f>
        <v>D24</v>
      </c>
      <c r="G85" t="s">
        <v>59</v>
      </c>
      <c r="H85" t="s">
        <v>59</v>
      </c>
    </row>
    <row r="86" spans="1:8" x14ac:dyDescent="0.25">
      <c r="A86" t="s">
        <v>254</v>
      </c>
      <c r="B86" t="s">
        <v>14</v>
      </c>
      <c r="C86" t="s">
        <v>90</v>
      </c>
      <c r="D86" s="10">
        <f>[1]头颈乳腺外科!$Q$8</f>
        <v>6.6821927624507396</v>
      </c>
      <c r="E86" s="10">
        <f>[1]头颈乳腺外科!$K$8</f>
        <v>5.9156925256818997</v>
      </c>
      <c r="F86" s="10">
        <f>[1]头颈乳腺外科!$E$8</f>
        <v>5.3255348622441101</v>
      </c>
      <c r="G86" t="s">
        <v>59</v>
      </c>
      <c r="H86" t="s">
        <v>59</v>
      </c>
    </row>
    <row r="87" spans="1:8" x14ac:dyDescent="0.25">
      <c r="A87" t="s">
        <v>255</v>
      </c>
      <c r="B87" t="s">
        <v>59</v>
      </c>
      <c r="C87" t="s">
        <v>90</v>
      </c>
      <c r="D87" s="22" t="str">
        <f>[2]头颈乳腺外科!$O$4</f>
        <v>乳房腺体区段切除术</v>
      </c>
      <c r="E87" s="22" t="str">
        <f>[2]头颈乳腺外科!$I$4</f>
        <v>乳腺区段切除术</v>
      </c>
      <c r="F87" s="22" t="str">
        <f>[2]头颈乳腺外科!$C$4</f>
        <v>乳腺区段切除术</v>
      </c>
      <c r="G87" t="s">
        <v>59</v>
      </c>
      <c r="H87" t="s">
        <v>59</v>
      </c>
    </row>
    <row r="88" spans="1:8" x14ac:dyDescent="0.25">
      <c r="A88" t="s">
        <v>256</v>
      </c>
      <c r="B88" t="s">
        <v>59</v>
      </c>
      <c r="C88" t="s">
        <v>90</v>
      </c>
      <c r="D88" s="23">
        <f>[2]头颈乳腺外科!$N$4</f>
        <v>85.21</v>
      </c>
      <c r="E88" s="23">
        <f>[2]头颈乳腺外科!$H$4</f>
        <v>85.22</v>
      </c>
      <c r="F88" s="23">
        <f>[2]头颈乳腺外科!$B$4</f>
        <v>85.22</v>
      </c>
      <c r="G88" t="s">
        <v>59</v>
      </c>
      <c r="H88" t="s">
        <v>59</v>
      </c>
    </row>
    <row r="89" spans="1:8" x14ac:dyDescent="0.25">
      <c r="A89" t="s">
        <v>257</v>
      </c>
      <c r="B89" t="s">
        <v>14</v>
      </c>
      <c r="C89" t="s">
        <v>90</v>
      </c>
      <c r="D89" s="24">
        <f>[2]头颈乳腺外科!$Q$4</f>
        <v>41.44</v>
      </c>
      <c r="E89" s="24">
        <f>[2]头颈乳腺外科!$K$4</f>
        <v>34.098851722416399</v>
      </c>
      <c r="F89" s="24">
        <f>[2]头颈乳腺外科!$E$4</f>
        <v>35.363964894166202</v>
      </c>
      <c r="G89" t="s">
        <v>59</v>
      </c>
      <c r="H89" t="s">
        <v>59</v>
      </c>
    </row>
    <row r="90" spans="1:8" x14ac:dyDescent="0.25">
      <c r="A90" t="s">
        <v>258</v>
      </c>
      <c r="B90" t="s">
        <v>59</v>
      </c>
      <c r="C90" t="s">
        <v>90</v>
      </c>
      <c r="D90" s="25" t="str">
        <f>[2]头颈乳腺外科!$O$5</f>
        <v>单侧甲状腺切除伴甲状腺峡部切除术</v>
      </c>
      <c r="E90" s="25" t="str">
        <f>[2]头颈乳腺外科!$I$5</f>
        <v>单侧甲状腺全切除，伴另侧次全(大部份)切除术</v>
      </c>
      <c r="F90" s="25" t="str">
        <f>[2]头颈乳腺外科!$C$5</f>
        <v>乳腺病损微创旋切术(麦默通)</v>
      </c>
      <c r="G90" t="s">
        <v>59</v>
      </c>
      <c r="H90" t="s">
        <v>59</v>
      </c>
    </row>
    <row r="91" spans="1:8" x14ac:dyDescent="0.25">
      <c r="A91" t="s">
        <v>259</v>
      </c>
      <c r="B91" t="s">
        <v>59</v>
      </c>
      <c r="C91" t="s">
        <v>90</v>
      </c>
      <c r="D91" s="26" t="str">
        <f>[2]头颈乳腺外科!$N$5</f>
        <v>06.2x</v>
      </c>
      <c r="E91" s="26" t="str">
        <f>[2]头颈乳腺外科!$H$5</f>
        <v>06.2</v>
      </c>
      <c r="F91" s="26">
        <f>[2]头颈乳腺外科!$B$5</f>
        <v>85.21</v>
      </c>
      <c r="G91" t="s">
        <v>59</v>
      </c>
      <c r="H91" t="s">
        <v>59</v>
      </c>
    </row>
    <row r="92" spans="1:8" x14ac:dyDescent="0.25">
      <c r="A92" t="s">
        <v>260</v>
      </c>
      <c r="B92" t="s">
        <v>14</v>
      </c>
      <c r="C92" t="s">
        <v>90</v>
      </c>
      <c r="D92" s="24">
        <f>[2]头颈乳腺外科!$Q$5</f>
        <v>18.399999999999999</v>
      </c>
      <c r="E92" s="24">
        <f>[2]头颈乳腺外科!$K$5</f>
        <v>11.6824762855716</v>
      </c>
      <c r="F92" s="24">
        <f>[2]头颈乳腺外科!$E$5</f>
        <v>10.4284976768198</v>
      </c>
      <c r="G92" t="s">
        <v>59</v>
      </c>
      <c r="H92" t="s">
        <v>59</v>
      </c>
    </row>
    <row r="93" spans="1:8" x14ac:dyDescent="0.25">
      <c r="A93" t="s">
        <v>261</v>
      </c>
      <c r="B93" t="s">
        <v>59</v>
      </c>
      <c r="C93" t="s">
        <v>90</v>
      </c>
      <c r="D93" s="27" t="str">
        <f>[2]头颈乳腺外科!$O$6</f>
        <v>单侧乳腺改良根治术</v>
      </c>
      <c r="E93" s="27" t="str">
        <f>[2]头颈乳腺外科!$I$6</f>
        <v>乳腺病损微创旋切术(麦默通)</v>
      </c>
      <c r="F93" s="27" t="str">
        <f>[2]头颈乳腺外科!$C$6</f>
        <v>乳腺改良根治术，单侧</v>
      </c>
      <c r="G93" t="s">
        <v>59</v>
      </c>
      <c r="H93" t="s">
        <v>59</v>
      </c>
    </row>
    <row r="94" spans="1:8" x14ac:dyDescent="0.25">
      <c r="A94" t="s">
        <v>262</v>
      </c>
      <c r="B94" t="s">
        <v>59</v>
      </c>
      <c r="C94" t="s">
        <v>90</v>
      </c>
      <c r="D94" s="28">
        <f>[2]头颈乳腺外科!$N$6</f>
        <v>85.43</v>
      </c>
      <c r="E94" s="28">
        <f>[2]头颈乳腺外科!$H$6</f>
        <v>85.21</v>
      </c>
      <c r="F94" s="28">
        <f>[2]头颈乳腺外科!$B$6</f>
        <v>85.43</v>
      </c>
      <c r="G94" t="s">
        <v>59</v>
      </c>
      <c r="H94" t="s">
        <v>59</v>
      </c>
    </row>
    <row r="95" spans="1:8" x14ac:dyDescent="0.25">
      <c r="A95" t="s">
        <v>263</v>
      </c>
      <c r="B95" t="s">
        <v>14</v>
      </c>
      <c r="C95" t="s">
        <v>90</v>
      </c>
      <c r="D95" s="24">
        <f>[2]头颈乳腺外科!$Q$6</f>
        <v>12.28</v>
      </c>
      <c r="E95" s="24">
        <f>[2]头颈乳腺外科!$K$6</f>
        <v>8.7368946580129805</v>
      </c>
      <c r="F95" s="24">
        <f>[2]头颈乳腺外科!$E$6</f>
        <v>7.3825503355704702</v>
      </c>
      <c r="G95" t="s">
        <v>59</v>
      </c>
      <c r="H95" t="s">
        <v>59</v>
      </c>
    </row>
    <row r="96" spans="1:8" x14ac:dyDescent="0.25">
      <c r="A96" t="s">
        <v>264</v>
      </c>
      <c r="B96" t="s">
        <v>59</v>
      </c>
      <c r="C96" t="s">
        <v>90</v>
      </c>
      <c r="D96" s="24" t="str">
        <f>[2]头颈乳腺外科!$O$7</f>
        <v>甲状腺全部切除术</v>
      </c>
      <c r="E96" s="24" t="str">
        <f>[2]头颈乳腺外科!$I$7</f>
        <v>乳腺改良根治术，单侧</v>
      </c>
      <c r="F96" s="24" t="str">
        <f>[2]头颈乳腺外科!$C$7</f>
        <v>单侧甲状腺全切除，伴另侧次全(大部份)切除术</v>
      </c>
      <c r="G96" t="s">
        <v>59</v>
      </c>
      <c r="H96" t="s">
        <v>59</v>
      </c>
    </row>
    <row r="97" spans="1:8" x14ac:dyDescent="0.25">
      <c r="A97" t="s">
        <v>265</v>
      </c>
      <c r="B97" t="s">
        <v>59</v>
      </c>
      <c r="C97" t="s">
        <v>90</v>
      </c>
      <c r="D97" s="25" t="str">
        <f>[2]头颈乳腺外科!$N$7</f>
        <v>06.4x</v>
      </c>
      <c r="E97" s="25">
        <f>[2]头颈乳腺外科!$H$7</f>
        <v>85.43</v>
      </c>
      <c r="F97" s="25" t="str">
        <f>[2]头颈乳腺外科!$B$7</f>
        <v>06.2</v>
      </c>
      <c r="G97" t="s">
        <v>59</v>
      </c>
      <c r="H97" t="s">
        <v>59</v>
      </c>
    </row>
    <row r="98" spans="1:8" x14ac:dyDescent="0.25">
      <c r="A98" t="s">
        <v>266</v>
      </c>
      <c r="B98" t="s">
        <v>14</v>
      </c>
      <c r="C98" t="s">
        <v>90</v>
      </c>
      <c r="D98" s="26">
        <f>[2]头颈乳腺外科!$Q$7</f>
        <v>7.56</v>
      </c>
      <c r="E98" s="26">
        <f>[2]头颈乳腺外科!$K$7</f>
        <v>8.1377933100349509</v>
      </c>
      <c r="F98" s="26">
        <f>[2]头颈乳腺外科!$E$7</f>
        <v>12.700051626226101</v>
      </c>
      <c r="G98" t="s">
        <v>59</v>
      </c>
      <c r="H98" t="s">
        <v>59</v>
      </c>
    </row>
    <row r="99" spans="1:8" x14ac:dyDescent="0.25">
      <c r="A99" t="s">
        <v>267</v>
      </c>
      <c r="B99" t="s">
        <v>59</v>
      </c>
      <c r="C99" t="s">
        <v>90</v>
      </c>
      <c r="D99" s="24" t="str">
        <f>[2]头颈乳腺外科!$O$8</f>
        <v>静脉输液港植入术</v>
      </c>
      <c r="E99" s="24" t="str">
        <f>[2]头颈乳腺外科!$I$8</f>
        <v>双侧甲状腺全部切除术</v>
      </c>
      <c r="F99" s="24" t="str">
        <f>[2]头颈乳腺外科!$C$8</f>
        <v>乳房单纯切除术，单侧</v>
      </c>
      <c r="G99" t="s">
        <v>59</v>
      </c>
      <c r="H99" t="s">
        <v>59</v>
      </c>
    </row>
    <row r="100" spans="1:8" x14ac:dyDescent="0.25">
      <c r="A100" t="s">
        <v>268</v>
      </c>
      <c r="B100" t="s">
        <v>59</v>
      </c>
      <c r="C100" t="s">
        <v>90</v>
      </c>
      <c r="D100" s="10">
        <f>[2]头颈乳腺外科!$N$8</f>
        <v>86.07</v>
      </c>
      <c r="E100" s="10" t="str">
        <f>[2]头颈乳腺外科!$H$8</f>
        <v>06.4</v>
      </c>
      <c r="F100" s="10">
        <f>[2]头颈乳腺外科!$B$8</f>
        <v>85.41</v>
      </c>
      <c r="G100" t="s">
        <v>59</v>
      </c>
      <c r="H100" t="s">
        <v>59</v>
      </c>
    </row>
    <row r="101" spans="1:8" x14ac:dyDescent="0.25">
      <c r="A101" t="s">
        <v>269</v>
      </c>
      <c r="B101" t="s">
        <v>14</v>
      </c>
      <c r="C101" t="s">
        <v>90</v>
      </c>
      <c r="D101" s="10">
        <f>[2]头颈乳腺外科!$Q$8</f>
        <v>3.92</v>
      </c>
      <c r="E101" s="10">
        <f>[2]头颈乳腺外科!$K$8</f>
        <v>5.64153769345981</v>
      </c>
      <c r="F101" s="10">
        <f>[2]头颈乳腺外科!$E$8</f>
        <v>4.0268456375838904</v>
      </c>
      <c r="G101" t="s">
        <v>59</v>
      </c>
      <c r="H101" t="s">
        <v>59</v>
      </c>
    </row>
  </sheetData>
  <phoneticPr fontId="10" type="noConversion"/>
  <conditionalFormatting sqref="D88">
    <cfRule type="duplicateValues" dxfId="191" priority="12"/>
  </conditionalFormatting>
  <conditionalFormatting sqref="E88">
    <cfRule type="duplicateValues" dxfId="190" priority="4"/>
  </conditionalFormatting>
  <conditionalFormatting sqref="F88">
    <cfRule type="duplicateValues" dxfId="189" priority="8"/>
  </conditionalFormatting>
  <conditionalFormatting sqref="D91">
    <cfRule type="duplicateValues" dxfId="188" priority="11"/>
  </conditionalFormatting>
  <conditionalFormatting sqref="E91">
    <cfRule type="duplicateValues" dxfId="187" priority="3"/>
  </conditionalFormatting>
  <conditionalFormatting sqref="F91">
    <cfRule type="duplicateValues" dxfId="186" priority="7"/>
  </conditionalFormatting>
  <conditionalFormatting sqref="D94">
    <cfRule type="duplicateValues" dxfId="185" priority="9"/>
  </conditionalFormatting>
  <conditionalFormatting sqref="E94">
    <cfRule type="duplicateValues" dxfId="184" priority="1"/>
  </conditionalFormatting>
  <conditionalFormatting sqref="F94">
    <cfRule type="duplicateValues" dxfId="183" priority="5"/>
  </conditionalFormatting>
  <conditionalFormatting sqref="D98">
    <cfRule type="duplicateValues" dxfId="182" priority="10"/>
  </conditionalFormatting>
  <conditionalFormatting sqref="E98">
    <cfRule type="duplicateValues" dxfId="181" priority="2"/>
  </conditionalFormatting>
  <conditionalFormatting sqref="F98">
    <cfRule type="duplicateValues" dxfId="180" priority="6"/>
  </conditionalFormatting>
  <pageMargins left="0.69930555555555596" right="0.69930555555555596" top="0.75" bottom="0.75" header="0.3" footer="0.3"/>
  <ignoredErrors>
    <ignoredError sqref="A2:B31 G2:H31 G34:H101 A34:B101 A1:H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37.4167283493708</v>
      </c>
      <c r="E2" s="5">
        <v>32.102672292545698</v>
      </c>
      <c r="F2" s="5">
        <v>32.849490236737502</v>
      </c>
      <c r="G2" t="s">
        <v>16</v>
      </c>
      <c r="H2" t="s">
        <v>17</v>
      </c>
    </row>
    <row r="3" spans="1:8" x14ac:dyDescent="0.25">
      <c r="A3" t="s">
        <v>18</v>
      </c>
      <c r="B3" t="s">
        <v>14</v>
      </c>
      <c r="C3" t="s">
        <v>15</v>
      </c>
      <c r="D3" s="5">
        <v>53.363006923837801</v>
      </c>
      <c r="E3" s="5">
        <v>54.874041621029598</v>
      </c>
      <c r="F3" s="5">
        <v>43.924250394529203</v>
      </c>
      <c r="G3" t="s">
        <v>19</v>
      </c>
      <c r="H3" t="s">
        <v>20</v>
      </c>
    </row>
    <row r="4" spans="1:8" x14ac:dyDescent="0.25">
      <c r="A4" t="s">
        <v>21</v>
      </c>
      <c r="B4" t="s">
        <v>14</v>
      </c>
      <c r="C4" t="s">
        <v>15</v>
      </c>
      <c r="D4" s="5">
        <v>32.492581602373903</v>
      </c>
      <c r="E4" s="5">
        <v>34.720700985761198</v>
      </c>
      <c r="F4" s="5">
        <v>32.456601788532403</v>
      </c>
      <c r="G4" t="s">
        <v>22</v>
      </c>
      <c r="H4" t="s">
        <v>23</v>
      </c>
    </row>
    <row r="5" spans="1:8" x14ac:dyDescent="0.25">
      <c r="A5" t="s">
        <v>24</v>
      </c>
      <c r="B5" t="s">
        <v>14</v>
      </c>
      <c r="C5" t="s">
        <v>15</v>
      </c>
      <c r="D5" s="6">
        <v>95.97</v>
      </c>
      <c r="E5" s="6">
        <v>95.43</v>
      </c>
      <c r="F5" s="6">
        <v>92.41</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0.2</v>
      </c>
      <c r="F7" s="6">
        <v>0.52</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1.0900000000000001</v>
      </c>
      <c r="E10" s="6">
        <v>1.1599999999999999</v>
      </c>
      <c r="F10" s="6">
        <v>1.66</v>
      </c>
      <c r="G10" t="s">
        <v>58</v>
      </c>
      <c r="H10" t="s">
        <v>59</v>
      </c>
    </row>
    <row r="11" spans="1:8" x14ac:dyDescent="0.25">
      <c r="A11" t="s">
        <v>63</v>
      </c>
      <c r="B11" t="s">
        <v>64</v>
      </c>
      <c r="C11" t="s">
        <v>61</v>
      </c>
      <c r="D11" s="11">
        <v>46.052633734557098</v>
      </c>
      <c r="E11" s="11">
        <v>46.386234308672599</v>
      </c>
      <c r="F11" s="11">
        <v>40.8922338236613</v>
      </c>
      <c r="G11" t="s">
        <v>35</v>
      </c>
      <c r="H11" t="s">
        <v>65</v>
      </c>
    </row>
    <row r="12" spans="1:8" x14ac:dyDescent="0.25">
      <c r="A12" t="s">
        <v>66</v>
      </c>
      <c r="B12" t="s">
        <v>14</v>
      </c>
      <c r="C12" t="s">
        <v>61</v>
      </c>
      <c r="D12" s="6">
        <v>71.5</v>
      </c>
      <c r="E12" s="6">
        <v>51.61</v>
      </c>
      <c r="F12" s="6">
        <v>44.6</v>
      </c>
      <c r="G12" t="s">
        <v>39</v>
      </c>
      <c r="H12" t="s">
        <v>67</v>
      </c>
    </row>
    <row r="13" spans="1:8" x14ac:dyDescent="0.25">
      <c r="A13" t="s">
        <v>68</v>
      </c>
      <c r="B13" t="s">
        <v>14</v>
      </c>
      <c r="C13" t="s">
        <v>61</v>
      </c>
      <c r="D13" s="6">
        <v>97.5</v>
      </c>
      <c r="E13" s="6">
        <v>97.88</v>
      </c>
      <c r="F13" s="6">
        <v>95.3</v>
      </c>
      <c r="G13" t="s">
        <v>39</v>
      </c>
      <c r="H13" t="s">
        <v>69</v>
      </c>
    </row>
    <row r="14" spans="1:8" x14ac:dyDescent="0.25">
      <c r="A14" t="s">
        <v>74</v>
      </c>
      <c r="B14" t="s">
        <v>14</v>
      </c>
      <c r="C14" t="s">
        <v>75</v>
      </c>
      <c r="D14" s="5">
        <f>(55900+48840)/60839917*100</f>
        <v>0.17215671086467788</v>
      </c>
      <c r="E14" s="5">
        <f>57900/60915806*100</f>
        <v>9.5049222528550303E-2</v>
      </c>
      <c r="F14" s="6">
        <v>0</v>
      </c>
      <c r="G14" t="s">
        <v>35</v>
      </c>
      <c r="H14" t="s">
        <v>76</v>
      </c>
    </row>
    <row r="15" spans="1:8" x14ac:dyDescent="0.25">
      <c r="A15" t="s">
        <v>91</v>
      </c>
      <c r="B15" t="s">
        <v>92</v>
      </c>
      <c r="C15" t="s">
        <v>15</v>
      </c>
      <c r="D15" s="6">
        <v>7.09</v>
      </c>
      <c r="E15" s="6">
        <v>6.93</v>
      </c>
      <c r="F15" s="6">
        <v>7.1</v>
      </c>
      <c r="G15" t="s">
        <v>93</v>
      </c>
      <c r="H15" t="s">
        <v>94</v>
      </c>
    </row>
    <row r="16" spans="1:8" x14ac:dyDescent="0.25">
      <c r="A16" t="s">
        <v>95</v>
      </c>
      <c r="B16" t="s">
        <v>59</v>
      </c>
      <c r="C16" t="s">
        <v>34</v>
      </c>
      <c r="D16" s="6">
        <v>1.52</v>
      </c>
      <c r="E16" s="6">
        <v>1.43</v>
      </c>
      <c r="F16" s="6">
        <v>1.41</v>
      </c>
      <c r="G16" t="s">
        <v>96</v>
      </c>
      <c r="H16" t="s">
        <v>59</v>
      </c>
    </row>
    <row r="17" spans="1:8" x14ac:dyDescent="0.25">
      <c r="A17" t="s">
        <v>97</v>
      </c>
      <c r="B17" t="s">
        <v>98</v>
      </c>
      <c r="C17" t="s">
        <v>34</v>
      </c>
      <c r="D17" s="6">
        <v>160</v>
      </c>
      <c r="E17" s="6">
        <v>153</v>
      </c>
      <c r="F17" s="6">
        <v>171</v>
      </c>
      <c r="G17" t="s">
        <v>99</v>
      </c>
      <c r="H17" t="s">
        <v>59</v>
      </c>
    </row>
    <row r="18" spans="1:8" x14ac:dyDescent="0.25">
      <c r="A18" t="s">
        <v>104</v>
      </c>
      <c r="B18" t="s">
        <v>105</v>
      </c>
      <c r="C18" t="s">
        <v>15</v>
      </c>
      <c r="D18" s="6">
        <v>90</v>
      </c>
      <c r="E18" s="6">
        <v>90</v>
      </c>
      <c r="F18" s="6">
        <v>90</v>
      </c>
      <c r="G18" t="s">
        <v>58</v>
      </c>
      <c r="H18" t="s">
        <v>59</v>
      </c>
    </row>
    <row r="19" spans="1:8" x14ac:dyDescent="0.25">
      <c r="A19" t="s">
        <v>106</v>
      </c>
      <c r="B19" t="s">
        <v>105</v>
      </c>
      <c r="C19" t="s">
        <v>15</v>
      </c>
      <c r="D19" s="6">
        <v>100</v>
      </c>
      <c r="E19" s="6">
        <v>100</v>
      </c>
      <c r="F19" s="6">
        <v>100</v>
      </c>
      <c r="G19" t="s">
        <v>58</v>
      </c>
      <c r="H19" t="s">
        <v>59</v>
      </c>
    </row>
    <row r="20" spans="1:8" x14ac:dyDescent="0.25">
      <c r="A20" t="s">
        <v>107</v>
      </c>
      <c r="B20" t="s">
        <v>14</v>
      </c>
      <c r="C20" t="s">
        <v>15</v>
      </c>
      <c r="D20" s="6">
        <v>101.77</v>
      </c>
      <c r="E20" s="6">
        <v>104.54</v>
      </c>
      <c r="F20" s="6">
        <v>109.28</v>
      </c>
      <c r="G20" t="s">
        <v>58</v>
      </c>
      <c r="H20" t="s">
        <v>108</v>
      </c>
    </row>
    <row r="21" spans="1:8" x14ac:dyDescent="0.25">
      <c r="A21" t="s">
        <v>112</v>
      </c>
      <c r="B21" t="s">
        <v>59</v>
      </c>
      <c r="C21" t="s">
        <v>102</v>
      </c>
      <c r="D21" s="5">
        <f t="shared" ref="D21:F21" si="0">D43/D19</f>
        <v>0.18</v>
      </c>
      <c r="E21" s="5">
        <f t="shared" si="0"/>
        <v>0.18</v>
      </c>
      <c r="F21" s="5">
        <f t="shared" si="0"/>
        <v>0.18</v>
      </c>
      <c r="G21" t="s">
        <v>110</v>
      </c>
      <c r="H21" t="s">
        <v>113</v>
      </c>
    </row>
    <row r="22" spans="1:8" x14ac:dyDescent="0.25">
      <c r="A22" t="s">
        <v>114</v>
      </c>
      <c r="B22" t="s">
        <v>59</v>
      </c>
      <c r="C22" t="s">
        <v>102</v>
      </c>
      <c r="D22" s="5">
        <f t="shared" ref="D22:F22" si="1">D44/D19</f>
        <v>0.46</v>
      </c>
      <c r="E22" s="5">
        <f t="shared" si="1"/>
        <v>0.45</v>
      </c>
      <c r="F22" s="5">
        <f t="shared" si="1"/>
        <v>0.46</v>
      </c>
      <c r="G22" t="s">
        <v>110</v>
      </c>
      <c r="H22" t="s">
        <v>115</v>
      </c>
    </row>
    <row r="23" spans="1:8" x14ac:dyDescent="0.25">
      <c r="A23" t="s">
        <v>116</v>
      </c>
      <c r="B23" t="s">
        <v>117</v>
      </c>
      <c r="C23" t="s">
        <v>118</v>
      </c>
      <c r="D23" s="5">
        <v>29.612724439393901</v>
      </c>
      <c r="E23" s="5">
        <v>27.934195661764701</v>
      </c>
      <c r="F23" s="5">
        <v>28.5648500461539</v>
      </c>
      <c r="G23" t="s">
        <v>119</v>
      </c>
      <c r="H23" t="s">
        <v>59</v>
      </c>
    </row>
    <row r="24" spans="1:8" x14ac:dyDescent="0.25">
      <c r="A24" t="s">
        <v>120</v>
      </c>
      <c r="B24" t="s">
        <v>117</v>
      </c>
      <c r="C24" t="s">
        <v>118</v>
      </c>
      <c r="D24" s="5">
        <v>59.673130287878799</v>
      </c>
      <c r="E24" s="5">
        <v>56.512557014705898</v>
      </c>
      <c r="F24" s="5">
        <v>58.007160830769202</v>
      </c>
      <c r="G24" t="s">
        <v>121</v>
      </c>
      <c r="H24" t="s">
        <v>59</v>
      </c>
    </row>
    <row r="25" spans="1:8" x14ac:dyDescent="0.25">
      <c r="A25" t="s">
        <v>122</v>
      </c>
      <c r="B25" t="s">
        <v>117</v>
      </c>
      <c r="C25" t="s">
        <v>118</v>
      </c>
      <c r="D25" s="5">
        <v>19.544398130000001</v>
      </c>
      <c r="E25" s="5">
        <v>18.995253049999999</v>
      </c>
      <c r="F25" s="5">
        <v>18.567152530000001</v>
      </c>
      <c r="G25" t="s">
        <v>123</v>
      </c>
      <c r="H25" t="s">
        <v>59</v>
      </c>
    </row>
    <row r="26" spans="1:8" x14ac:dyDescent="0.25">
      <c r="A26" t="s">
        <v>124</v>
      </c>
      <c r="B26" t="s">
        <v>117</v>
      </c>
      <c r="C26" t="s">
        <v>118</v>
      </c>
      <c r="D26" s="5">
        <v>39.384265990000003</v>
      </c>
      <c r="E26" s="5">
        <v>38.428538770000003</v>
      </c>
      <c r="F26" s="5">
        <v>37.70465454</v>
      </c>
      <c r="G26" t="s">
        <v>125</v>
      </c>
      <c r="H26" t="s">
        <v>59</v>
      </c>
    </row>
    <row r="27" spans="1:8" x14ac:dyDescent="0.25">
      <c r="A27" t="s">
        <v>126</v>
      </c>
      <c r="B27" t="s">
        <v>127</v>
      </c>
      <c r="C27" t="s">
        <v>118</v>
      </c>
      <c r="D27" s="5">
        <v>5.6537290715372901</v>
      </c>
      <c r="E27" s="5">
        <v>5.8237442922374401</v>
      </c>
      <c r="F27" s="5">
        <v>6.0712328767123296</v>
      </c>
      <c r="G27" t="s">
        <v>39</v>
      </c>
      <c r="H27" t="s">
        <v>128</v>
      </c>
    </row>
    <row r="28" spans="1:8" x14ac:dyDescent="0.25">
      <c r="A28" t="s">
        <v>129</v>
      </c>
      <c r="B28" t="s">
        <v>14</v>
      </c>
      <c r="C28" t="s">
        <v>118</v>
      </c>
      <c r="D28" s="5">
        <v>28.968177014425802</v>
      </c>
      <c r="E28" s="5">
        <v>28.645276294813499</v>
      </c>
      <c r="F28" s="5">
        <v>27.331443251467402</v>
      </c>
      <c r="G28" t="s">
        <v>130</v>
      </c>
      <c r="H28" t="s">
        <v>131</v>
      </c>
    </row>
    <row r="29" spans="1:8" x14ac:dyDescent="0.25">
      <c r="A29" t="s">
        <v>132</v>
      </c>
      <c r="B29" t="s">
        <v>117</v>
      </c>
      <c r="C29" t="s">
        <v>118</v>
      </c>
      <c r="D29" s="5">
        <v>6746.8512499999997</v>
      </c>
      <c r="E29" s="5">
        <v>6631.1991040000003</v>
      </c>
      <c r="F29" s="5">
        <v>6793.3304360000002</v>
      </c>
      <c r="G29" t="s">
        <v>59</v>
      </c>
      <c r="H29" t="s">
        <v>133</v>
      </c>
    </row>
    <row r="30" spans="1:8" x14ac:dyDescent="0.25">
      <c r="A30" t="s">
        <v>134</v>
      </c>
      <c r="B30" t="s">
        <v>117</v>
      </c>
      <c r="C30" t="s">
        <v>118</v>
      </c>
      <c r="D30" s="5">
        <v>1954.439813</v>
      </c>
      <c r="E30" s="5">
        <v>1899.5253049999999</v>
      </c>
      <c r="F30" s="5">
        <v>1856.7152530000001</v>
      </c>
      <c r="G30" t="s">
        <v>59</v>
      </c>
      <c r="H30" t="s">
        <v>59</v>
      </c>
    </row>
    <row r="31" spans="1:8" x14ac:dyDescent="0.25">
      <c r="A31" t="s">
        <v>135</v>
      </c>
      <c r="B31" t="s">
        <v>117</v>
      </c>
      <c r="C31" t="s">
        <v>118</v>
      </c>
      <c r="D31" s="5">
        <v>3938.4265989999999</v>
      </c>
      <c r="E31" s="5">
        <v>3842.853877</v>
      </c>
      <c r="F31" s="5">
        <v>3770.4654540000001</v>
      </c>
      <c r="G31" t="s">
        <v>59</v>
      </c>
      <c r="H31" t="s">
        <v>136</v>
      </c>
    </row>
    <row r="32" spans="1:8" x14ac:dyDescent="0.25">
      <c r="A32" t="s">
        <v>216</v>
      </c>
      <c r="B32" t="s">
        <v>117</v>
      </c>
      <c r="D32" s="17">
        <v>4112.92</v>
      </c>
      <c r="E32" s="17">
        <v>3699.12</v>
      </c>
      <c r="F32" s="17">
        <v>3814.5</v>
      </c>
    </row>
    <row r="33" spans="1:8" x14ac:dyDescent="0.25">
      <c r="A33" t="s">
        <v>143</v>
      </c>
      <c r="B33" t="s">
        <v>14</v>
      </c>
      <c r="D33" s="15">
        <v>16.78</v>
      </c>
      <c r="E33" s="15">
        <v>15.75</v>
      </c>
      <c r="F33" s="15">
        <v>11.37</v>
      </c>
    </row>
    <row r="34" spans="1:8" x14ac:dyDescent="0.25">
      <c r="A34" t="s">
        <v>137</v>
      </c>
      <c r="B34" t="s">
        <v>138</v>
      </c>
      <c r="C34" t="s">
        <v>139</v>
      </c>
      <c r="D34" s="6"/>
      <c r="E34" s="6"/>
      <c r="F34" s="6"/>
      <c r="G34" t="s">
        <v>35</v>
      </c>
      <c r="H34" t="s">
        <v>140</v>
      </c>
    </row>
    <row r="35" spans="1:8" x14ac:dyDescent="0.25">
      <c r="A35" t="s">
        <v>217</v>
      </c>
      <c r="B35" t="s">
        <v>14</v>
      </c>
      <c r="C35" t="s">
        <v>118</v>
      </c>
      <c r="D35" s="5">
        <v>6.7385589685262399</v>
      </c>
      <c r="E35" s="5">
        <v>5.9830234740000403</v>
      </c>
      <c r="F35" s="5">
        <v>5.6201895019964301</v>
      </c>
      <c r="G35" t="s">
        <v>22</v>
      </c>
      <c r="H35" t="s">
        <v>218</v>
      </c>
    </row>
    <row r="36" spans="1:8" x14ac:dyDescent="0.25">
      <c r="A36" t="s">
        <v>219</v>
      </c>
      <c r="B36" t="s">
        <v>14</v>
      </c>
      <c r="C36" t="s">
        <v>118</v>
      </c>
      <c r="D36" s="5">
        <v>93.261441031473794</v>
      </c>
      <c r="E36" s="5">
        <v>94.016976525999993</v>
      </c>
      <c r="F36" s="5">
        <v>94.379810498003593</v>
      </c>
      <c r="G36" t="s">
        <v>22</v>
      </c>
      <c r="H36" t="s">
        <v>220</v>
      </c>
    </row>
    <row r="37" spans="1:8" x14ac:dyDescent="0.25">
      <c r="A37" t="s">
        <v>144</v>
      </c>
      <c r="B37" t="s">
        <v>14</v>
      </c>
      <c r="C37" t="s">
        <v>118</v>
      </c>
      <c r="D37" s="5">
        <v>1.74406082800676</v>
      </c>
      <c r="E37" s="5">
        <v>-2.3866251395753499</v>
      </c>
      <c r="F37" s="5">
        <v>16.957930706776398</v>
      </c>
      <c r="G37" t="s">
        <v>35</v>
      </c>
      <c r="H37" t="s">
        <v>145</v>
      </c>
    </row>
    <row r="38" spans="1:8" x14ac:dyDescent="0.25">
      <c r="A38" t="s">
        <v>146</v>
      </c>
      <c r="B38" t="s">
        <v>14</v>
      </c>
      <c r="C38" t="s">
        <v>118</v>
      </c>
      <c r="D38" s="5">
        <v>10.661834808548599</v>
      </c>
      <c r="E38" s="5">
        <v>14.5602004948038</v>
      </c>
      <c r="F38" s="5">
        <v>14.593392196162601</v>
      </c>
      <c r="G38" t="s">
        <v>35</v>
      </c>
      <c r="H38" t="s">
        <v>147</v>
      </c>
    </row>
    <row r="39" spans="1:8" x14ac:dyDescent="0.25">
      <c r="A39" t="s">
        <v>148</v>
      </c>
      <c r="B39" t="s">
        <v>14</v>
      </c>
      <c r="C39" t="s">
        <v>118</v>
      </c>
      <c r="D39" s="5">
        <v>6.3616861409587804</v>
      </c>
      <c r="E39" s="5">
        <v>-1.05431139381987</v>
      </c>
      <c r="F39" s="5">
        <v>8.7320319780411992</v>
      </c>
      <c r="G39" t="s">
        <v>35</v>
      </c>
      <c r="H39" t="s">
        <v>149</v>
      </c>
    </row>
    <row r="40" spans="1:8" x14ac:dyDescent="0.25">
      <c r="A40" t="s">
        <v>150</v>
      </c>
      <c r="B40" t="s">
        <v>14</v>
      </c>
      <c r="C40" t="s">
        <v>118</v>
      </c>
      <c r="D40" s="5">
        <v>36.022247236906601</v>
      </c>
      <c r="E40" s="5">
        <v>50.335019000208803</v>
      </c>
      <c r="F40" s="5">
        <v>29.044004061495102</v>
      </c>
      <c r="G40" t="s">
        <v>35</v>
      </c>
      <c r="H40" t="s">
        <v>151</v>
      </c>
    </row>
    <row r="41" spans="1:8" x14ac:dyDescent="0.25">
      <c r="A41" t="s">
        <v>152</v>
      </c>
      <c r="B41" t="s">
        <v>14</v>
      </c>
      <c r="C41" t="s">
        <v>118</v>
      </c>
      <c r="D41" s="5">
        <v>3.1833469174049398</v>
      </c>
      <c r="E41" s="5">
        <v>-7.82140828353233</v>
      </c>
      <c r="F41" s="5">
        <v>5.4639113672366602</v>
      </c>
      <c r="G41" t="s">
        <v>35</v>
      </c>
      <c r="H41" t="s">
        <v>153</v>
      </c>
    </row>
    <row r="42" spans="1:8" x14ac:dyDescent="0.25">
      <c r="A42" t="s">
        <v>164</v>
      </c>
      <c r="B42" t="s">
        <v>59</v>
      </c>
      <c r="C42" t="s">
        <v>102</v>
      </c>
      <c r="D42" s="6">
        <v>0.39</v>
      </c>
      <c r="E42" s="6">
        <v>0.4</v>
      </c>
      <c r="F42" s="6">
        <v>0.39</v>
      </c>
      <c r="G42" t="s">
        <v>165</v>
      </c>
      <c r="H42" t="s">
        <v>166</v>
      </c>
    </row>
    <row r="43" spans="1:8" x14ac:dyDescent="0.25">
      <c r="A43" t="s">
        <v>167</v>
      </c>
      <c r="B43" t="s">
        <v>101</v>
      </c>
      <c r="C43" t="s">
        <v>102</v>
      </c>
      <c r="D43" s="6">
        <v>18</v>
      </c>
      <c r="E43" s="6">
        <v>18</v>
      </c>
      <c r="F43" s="6">
        <v>18</v>
      </c>
      <c r="G43" t="s">
        <v>168</v>
      </c>
      <c r="H43" t="s">
        <v>59</v>
      </c>
    </row>
    <row r="44" spans="1:8" x14ac:dyDescent="0.25">
      <c r="A44" t="s">
        <v>169</v>
      </c>
      <c r="B44" t="s">
        <v>101</v>
      </c>
      <c r="C44" t="s">
        <v>102</v>
      </c>
      <c r="D44" s="6">
        <v>46</v>
      </c>
      <c r="E44" s="6">
        <v>45</v>
      </c>
      <c r="F44" s="6">
        <v>46</v>
      </c>
      <c r="G44" t="s">
        <v>168</v>
      </c>
      <c r="H44" t="s">
        <v>59</v>
      </c>
    </row>
    <row r="45" spans="1:8" x14ac:dyDescent="0.25">
      <c r="A45" t="s">
        <v>221</v>
      </c>
      <c r="B45" t="s">
        <v>14</v>
      </c>
      <c r="C45" t="s">
        <v>102</v>
      </c>
      <c r="D45" s="6">
        <v>55.56</v>
      </c>
      <c r="E45" s="6">
        <v>55.56</v>
      </c>
      <c r="F45" s="6">
        <v>55.56</v>
      </c>
      <c r="G45" t="s">
        <v>59</v>
      </c>
      <c r="H45" t="s">
        <v>222</v>
      </c>
    </row>
    <row r="46" spans="1:8" x14ac:dyDescent="0.25">
      <c r="A46" t="s">
        <v>223</v>
      </c>
      <c r="B46" t="s">
        <v>14</v>
      </c>
      <c r="C46" t="s">
        <v>102</v>
      </c>
      <c r="D46" s="6">
        <v>11.11</v>
      </c>
      <c r="E46" s="6">
        <v>11.11</v>
      </c>
      <c r="F46" s="6">
        <v>11.11</v>
      </c>
      <c r="G46" t="s">
        <v>59</v>
      </c>
      <c r="H46" t="s">
        <v>224</v>
      </c>
    </row>
    <row r="47" spans="1:8" x14ac:dyDescent="0.25">
      <c r="A47" t="s">
        <v>225</v>
      </c>
      <c r="B47" t="s">
        <v>14</v>
      </c>
      <c r="C47" t="s">
        <v>102</v>
      </c>
      <c r="D47" s="6">
        <v>72.22</v>
      </c>
      <c r="E47" s="6">
        <v>72.22</v>
      </c>
      <c r="F47" s="6">
        <v>72.22</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33">
        <v>484579.75</v>
      </c>
      <c r="E51" s="33">
        <v>335409.52380952402</v>
      </c>
      <c r="F51" s="33">
        <v>345792.140625</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5.6000000000000001E-2</v>
      </c>
      <c r="E54" s="6">
        <v>0</v>
      </c>
      <c r="F54" s="6">
        <v>0.111</v>
      </c>
      <c r="G54" t="s">
        <v>205</v>
      </c>
      <c r="H54" t="s">
        <v>59</v>
      </c>
    </row>
    <row r="55" spans="1:8" x14ac:dyDescent="0.25">
      <c r="A55" t="s">
        <v>206</v>
      </c>
      <c r="B55" t="s">
        <v>207</v>
      </c>
      <c r="C55" t="s">
        <v>176</v>
      </c>
      <c r="D55" s="6">
        <v>0.126</v>
      </c>
      <c r="E55" s="6">
        <v>0</v>
      </c>
      <c r="F55" s="6">
        <v>0.20699999999999999</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11.11</v>
      </c>
      <c r="E57" s="6">
        <v>11.11</v>
      </c>
      <c r="F57" s="6">
        <v>0</v>
      </c>
      <c r="G57" t="s">
        <v>59</v>
      </c>
      <c r="H57" t="s">
        <v>211</v>
      </c>
    </row>
    <row r="58" spans="1:8" x14ac:dyDescent="0.25">
      <c r="A58" t="s">
        <v>212</v>
      </c>
      <c r="B58" t="s">
        <v>14</v>
      </c>
      <c r="C58" t="s">
        <v>15</v>
      </c>
      <c r="D58" s="9">
        <v>4.4781643227239103</v>
      </c>
      <c r="E58" s="9">
        <v>3.79746835443038</v>
      </c>
      <c r="F58" s="9">
        <v>4.0089856575082097</v>
      </c>
      <c r="G58" t="s">
        <v>59</v>
      </c>
      <c r="H58" t="s">
        <v>213</v>
      </c>
    </row>
    <row r="59" spans="1:8" x14ac:dyDescent="0.25">
      <c r="A59" t="s">
        <v>214</v>
      </c>
      <c r="B59" t="s">
        <v>14</v>
      </c>
      <c r="C59" t="s">
        <v>15</v>
      </c>
      <c r="D59" s="5">
        <v>3.1828275351591402</v>
      </c>
      <c r="E59" s="5">
        <v>2.7777777777777799</v>
      </c>
      <c r="F59" s="5">
        <v>2.1254536029030602</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[1]胃肠外科!$O$4</f>
        <v>为肿瘤化学治疗疗程</v>
      </c>
      <c r="E72" s="10" t="str">
        <f>[1]胃肠外科!$I$4</f>
        <v>为肿瘤化学治疗疗程</v>
      </c>
      <c r="F72" s="10" t="str">
        <f>[1]胃肠外科!$C$4</f>
        <v>为肿瘤化学治疗疗程</v>
      </c>
      <c r="G72" t="s">
        <v>59</v>
      </c>
      <c r="H72" t="s">
        <v>59</v>
      </c>
    </row>
    <row r="73" spans="1:8" x14ac:dyDescent="0.25">
      <c r="A73" t="s">
        <v>241</v>
      </c>
      <c r="B73" t="s">
        <v>59</v>
      </c>
      <c r="C73" t="s">
        <v>90</v>
      </c>
      <c r="D73" s="10" t="str">
        <f>[1]胃肠外科!$N$4</f>
        <v>Z51.1</v>
      </c>
      <c r="E73" s="10" t="str">
        <f>[1]胃肠外科!$H$4</f>
        <v>Z51.1</v>
      </c>
      <c r="F73" s="10" t="str">
        <f>[1]胃肠外科!$B$4</f>
        <v>Z51.1</v>
      </c>
      <c r="G73" t="s">
        <v>59</v>
      </c>
      <c r="H73" t="s">
        <v>59</v>
      </c>
    </row>
    <row r="74" spans="1:8" x14ac:dyDescent="0.25">
      <c r="A74" t="s">
        <v>242</v>
      </c>
      <c r="B74" t="s">
        <v>14</v>
      </c>
      <c r="C74" t="s">
        <v>90</v>
      </c>
      <c r="D74" s="10">
        <f>[1]胃肠外科!$Q$4</f>
        <v>36.621021465581101</v>
      </c>
      <c r="E74" s="10">
        <f>[1]胃肠外科!$K$4</f>
        <v>42.791842475386801</v>
      </c>
      <c r="F74" s="10">
        <f>[1]胃肠外科!$E$4</f>
        <v>43.9260411266632</v>
      </c>
      <c r="G74" t="s">
        <v>59</v>
      </c>
      <c r="H74" t="s">
        <v>59</v>
      </c>
    </row>
    <row r="75" spans="1:8" x14ac:dyDescent="0.25">
      <c r="A75" t="s">
        <v>243</v>
      </c>
      <c r="B75" t="s">
        <v>59</v>
      </c>
      <c r="C75" t="s">
        <v>90</v>
      </c>
      <c r="D75" s="10" t="str">
        <f>[1]胃肠外科!$O$5</f>
        <v>急性阑尾炎</v>
      </c>
      <c r="E75" s="10" t="str">
        <f>[1]胃肠外科!$I$5</f>
        <v>急性阑尾炎</v>
      </c>
      <c r="F75" s="10" t="str">
        <f>[1]胃肠外科!$C$5</f>
        <v>急性阑尾炎</v>
      </c>
      <c r="G75" t="s">
        <v>59</v>
      </c>
      <c r="H75" t="s">
        <v>59</v>
      </c>
    </row>
    <row r="76" spans="1:8" x14ac:dyDescent="0.25">
      <c r="A76" t="s">
        <v>244</v>
      </c>
      <c r="B76" t="s">
        <v>59</v>
      </c>
      <c r="C76" t="s">
        <v>90</v>
      </c>
      <c r="D76" s="10" t="str">
        <f>[1]胃肠外科!$N$5</f>
        <v>K35</v>
      </c>
      <c r="E76" s="10" t="str">
        <f>[1]胃肠外科!$H$5</f>
        <v>K35</v>
      </c>
      <c r="F76" s="10" t="str">
        <f>[1]胃肠外科!$B$5</f>
        <v>K35</v>
      </c>
      <c r="G76" t="s">
        <v>59</v>
      </c>
      <c r="H76" t="s">
        <v>59</v>
      </c>
    </row>
    <row r="77" spans="1:8" x14ac:dyDescent="0.25">
      <c r="A77" t="s">
        <v>245</v>
      </c>
      <c r="B77" t="s">
        <v>14</v>
      </c>
      <c r="C77" t="s">
        <v>90</v>
      </c>
      <c r="D77" s="10">
        <f>[1]胃肠外科!$Q$5</f>
        <v>7.1243523316062198</v>
      </c>
      <c r="E77" s="10">
        <f>[1]胃肠外科!$K$5</f>
        <v>7.45428973277075</v>
      </c>
      <c r="F77" s="10">
        <f>[1]胃肠外科!$E$5</f>
        <v>7.2576464489372698</v>
      </c>
      <c r="G77" t="s">
        <v>59</v>
      </c>
      <c r="H77" t="s">
        <v>59</v>
      </c>
    </row>
    <row r="78" spans="1:8" x14ac:dyDescent="0.25">
      <c r="A78" t="s">
        <v>246</v>
      </c>
      <c r="B78" t="s">
        <v>59</v>
      </c>
      <c r="C78" t="s">
        <v>90</v>
      </c>
      <c r="D78" s="10" t="str">
        <f>[1]胃肠外科!$O$6</f>
        <v>单侧或未特指腹股沟疝，不伴有梗阻或坏疽</v>
      </c>
      <c r="E78" s="10" t="str">
        <f>[1]胃肠外科!$I$6</f>
        <v>肠梗阻</v>
      </c>
      <c r="F78" s="10" t="str">
        <f>[1]胃肠外科!$C$6</f>
        <v>单侧或未特指腹股沟疝，不伴有梗阻或坏疽</v>
      </c>
      <c r="G78" t="s">
        <v>59</v>
      </c>
      <c r="H78" t="s">
        <v>59</v>
      </c>
    </row>
    <row r="79" spans="1:8" x14ac:dyDescent="0.25">
      <c r="A79" t="s">
        <v>247</v>
      </c>
      <c r="B79" t="s">
        <v>59</v>
      </c>
      <c r="C79" t="s">
        <v>90</v>
      </c>
      <c r="D79" s="10" t="str">
        <f>[1]胃肠外科!$N$6</f>
        <v>K40.9</v>
      </c>
      <c r="E79" s="10" t="str">
        <f>[1]胃肠外科!$H$6</f>
        <v>K56</v>
      </c>
      <c r="F79" s="10" t="str">
        <f>[1]胃肠外科!$B$6</f>
        <v>K40.9</v>
      </c>
      <c r="G79" t="s">
        <v>59</v>
      </c>
      <c r="H79" t="s">
        <v>59</v>
      </c>
    </row>
    <row r="80" spans="1:8" x14ac:dyDescent="0.25">
      <c r="A80" t="s">
        <v>248</v>
      </c>
      <c r="B80" t="s">
        <v>14</v>
      </c>
      <c r="C80" t="s">
        <v>90</v>
      </c>
      <c r="D80" s="10">
        <f>[1]胃肠外科!$Q$6</f>
        <v>5.3478904515173902</v>
      </c>
      <c r="E80" s="10">
        <f>[1]胃肠外科!$K$6</f>
        <v>5.2390998593530202</v>
      </c>
      <c r="F80" s="10">
        <f>[1]胃肠外科!$E$6</f>
        <v>5.7542768273717</v>
      </c>
      <c r="G80" t="s">
        <v>59</v>
      </c>
      <c r="H80" t="s">
        <v>59</v>
      </c>
    </row>
    <row r="81" spans="1:8" x14ac:dyDescent="0.25">
      <c r="A81" t="s">
        <v>249</v>
      </c>
      <c r="B81" t="s">
        <v>59</v>
      </c>
      <c r="C81" t="s">
        <v>90</v>
      </c>
      <c r="D81" s="10" t="str">
        <f>[1]胃肠外科!$O$7</f>
        <v>结肠恶性肿瘤</v>
      </c>
      <c r="E81" s="10" t="str">
        <f>[1]胃肠外科!$I$7</f>
        <v>单侧或未特指腹股沟疝，不伴有梗阻或坏疽</v>
      </c>
      <c r="F81" s="10" t="str">
        <f>[1]胃肠外科!$C$7</f>
        <v>肠梗阻</v>
      </c>
      <c r="G81" t="s">
        <v>59</v>
      </c>
      <c r="H81" t="s">
        <v>59</v>
      </c>
    </row>
    <row r="82" spans="1:8" x14ac:dyDescent="0.25">
      <c r="A82" t="s">
        <v>250</v>
      </c>
      <c r="B82" t="s">
        <v>59</v>
      </c>
      <c r="C82" t="s">
        <v>90</v>
      </c>
      <c r="D82" s="10" t="str">
        <f>[1]胃肠外科!$N$7</f>
        <v>C18</v>
      </c>
      <c r="E82" s="10" t="str">
        <f>[1]胃肠外科!$H$7</f>
        <v>K40.9</v>
      </c>
      <c r="F82" s="10" t="str">
        <f>[1]胃肠外科!$B$7</f>
        <v>K56</v>
      </c>
      <c r="G82" t="s">
        <v>59</v>
      </c>
      <c r="H82" t="s">
        <v>59</v>
      </c>
    </row>
    <row r="83" spans="1:8" x14ac:dyDescent="0.25">
      <c r="A83" t="s">
        <v>251</v>
      </c>
      <c r="B83" t="s">
        <v>14</v>
      </c>
      <c r="C83" t="s">
        <v>90</v>
      </c>
      <c r="D83" s="10">
        <f>[1]胃肠外科!$Q$7</f>
        <v>5.1628423390081402</v>
      </c>
      <c r="E83" s="10">
        <f>[1]胃肠外科!$K$7</f>
        <v>4.8874824191279904</v>
      </c>
      <c r="F83" s="10">
        <f>[1]胃肠外科!$E$7</f>
        <v>4.3718679799550699</v>
      </c>
      <c r="G83" t="s">
        <v>59</v>
      </c>
      <c r="H83" t="s">
        <v>59</v>
      </c>
    </row>
    <row r="84" spans="1:8" x14ac:dyDescent="0.25">
      <c r="A84" t="s">
        <v>252</v>
      </c>
      <c r="B84" t="s">
        <v>59</v>
      </c>
      <c r="C84" t="s">
        <v>90</v>
      </c>
      <c r="D84" s="10" t="str">
        <f>[1]胃肠外科!$O$8</f>
        <v>肠梗阻</v>
      </c>
      <c r="E84" s="10" t="str">
        <f>[1]胃肠外科!$I$8</f>
        <v>结肠恶性肿瘤</v>
      </c>
      <c r="F84" s="10" t="str">
        <f>[1]胃肠外科!$C$8</f>
        <v>结肠恶性肿瘤</v>
      </c>
      <c r="G84" t="s">
        <v>59</v>
      </c>
      <c r="H84" t="s">
        <v>59</v>
      </c>
    </row>
    <row r="85" spans="1:8" x14ac:dyDescent="0.25">
      <c r="A85" t="s">
        <v>253</v>
      </c>
      <c r="B85" t="s">
        <v>59</v>
      </c>
      <c r="C85" t="s">
        <v>90</v>
      </c>
      <c r="D85" s="10" t="str">
        <f>[1]胃肠外科!$N$8</f>
        <v>K56</v>
      </c>
      <c r="E85" s="10" t="str">
        <f>[1]胃肠外科!$H$8</f>
        <v>C18</v>
      </c>
      <c r="F85" s="10" t="str">
        <f>[1]胃肠外科!$B$8</f>
        <v>C18</v>
      </c>
      <c r="G85" t="s">
        <v>59</v>
      </c>
      <c r="H85" t="s">
        <v>59</v>
      </c>
    </row>
    <row r="86" spans="1:8" x14ac:dyDescent="0.25">
      <c r="A86" t="s">
        <v>254</v>
      </c>
      <c r="B86" t="s">
        <v>14</v>
      </c>
      <c r="C86" t="s">
        <v>90</v>
      </c>
      <c r="D86" s="10">
        <f>[1]胃肠外科!$Q$8</f>
        <v>4.4966691339748301</v>
      </c>
      <c r="E86" s="10">
        <f>[1]胃肠外科!$K$8</f>
        <v>4.4655414908579498</v>
      </c>
      <c r="F86" s="10">
        <f>[1]胃肠外科!$E$8</f>
        <v>4.3545878693623603</v>
      </c>
      <c r="G86" t="s">
        <v>59</v>
      </c>
      <c r="H86" t="s">
        <v>59</v>
      </c>
    </row>
    <row r="87" spans="1:8" x14ac:dyDescent="0.25">
      <c r="A87" t="s">
        <v>255</v>
      </c>
      <c r="B87" t="s">
        <v>59</v>
      </c>
      <c r="C87" t="s">
        <v>90</v>
      </c>
      <c r="D87" s="22" t="str">
        <f>[2]胃肠外科!$O$4</f>
        <v>腹腔镜下阑尾切除术</v>
      </c>
      <c r="E87" s="22" t="str">
        <f>[2]胃肠外科!$I$4</f>
        <v>阑尾切除术，经腹腔镜</v>
      </c>
      <c r="F87" s="22" t="str">
        <f>[2]胃肠外科!$C$4</f>
        <v>阑尾切除术，经腹腔镜</v>
      </c>
      <c r="G87" t="s">
        <v>59</v>
      </c>
      <c r="H87" t="s">
        <v>59</v>
      </c>
    </row>
    <row r="88" spans="1:8" x14ac:dyDescent="0.25">
      <c r="A88" t="s">
        <v>256</v>
      </c>
      <c r="B88" t="s">
        <v>59</v>
      </c>
      <c r="C88" t="s">
        <v>90</v>
      </c>
      <c r="D88" s="23">
        <f>[2]胃肠外科!$N$4</f>
        <v>47.01</v>
      </c>
      <c r="E88" s="23">
        <f>[2]胃肠外科!$H$4</f>
        <v>47.01</v>
      </c>
      <c r="F88" s="23" t="str">
        <f>[2]胃肠外科!$B$4</f>
        <v>47.01</v>
      </c>
      <c r="G88" t="s">
        <v>59</v>
      </c>
      <c r="H88" t="s">
        <v>59</v>
      </c>
    </row>
    <row r="89" spans="1:8" x14ac:dyDescent="0.25">
      <c r="A89" t="s">
        <v>257</v>
      </c>
      <c r="B89" t="s">
        <v>14</v>
      </c>
      <c r="C89" t="s">
        <v>90</v>
      </c>
      <c r="D89" s="24">
        <f>[2]胃肠外科!$Q$4</f>
        <v>13.4520276953511</v>
      </c>
      <c r="E89" s="24">
        <f>[2]胃肠外科!$K$4</f>
        <v>13.855421686747</v>
      </c>
      <c r="F89" s="24">
        <f>[2]胃肠外科!$E$4</f>
        <v>14.0452393477117</v>
      </c>
      <c r="G89" t="s">
        <v>59</v>
      </c>
      <c r="H89" t="s">
        <v>59</v>
      </c>
    </row>
    <row r="90" spans="1:8" x14ac:dyDescent="0.25">
      <c r="A90" t="s">
        <v>258</v>
      </c>
      <c r="B90" t="s">
        <v>59</v>
      </c>
      <c r="C90" t="s">
        <v>90</v>
      </c>
      <c r="D90" s="25" t="str">
        <f>[2]胃肠外科!$O$5</f>
        <v>大隐静脉主干激光闭合术</v>
      </c>
      <c r="E90" s="25" t="str">
        <f>[2]胃肠外科!$I$5</f>
        <v>腹股沟斜疝补片修补术，单侧</v>
      </c>
      <c r="F90" s="25" t="str">
        <f>[2]胃肠外科!$C$5</f>
        <v>腹股沟斜疝补片修补术，单侧</v>
      </c>
      <c r="G90" t="s">
        <v>59</v>
      </c>
      <c r="H90" t="s">
        <v>59</v>
      </c>
    </row>
    <row r="91" spans="1:8" x14ac:dyDescent="0.25">
      <c r="A91" t="s">
        <v>259</v>
      </c>
      <c r="B91" t="s">
        <v>59</v>
      </c>
      <c r="C91" t="s">
        <v>90</v>
      </c>
      <c r="D91" s="26">
        <f>[2]胃肠外科!$N$5</f>
        <v>38.590000000000003</v>
      </c>
      <c r="E91" s="26">
        <f>[2]胃肠外科!$H$5</f>
        <v>53.04</v>
      </c>
      <c r="F91" s="26" t="str">
        <f>[2]胃肠外科!$B$5</f>
        <v>53.04</v>
      </c>
      <c r="G91" t="s">
        <v>59</v>
      </c>
      <c r="H91" t="s">
        <v>59</v>
      </c>
    </row>
    <row r="92" spans="1:8" x14ac:dyDescent="0.25">
      <c r="A92" t="s">
        <v>260</v>
      </c>
      <c r="B92" t="s">
        <v>14</v>
      </c>
      <c r="C92" t="s">
        <v>90</v>
      </c>
      <c r="D92" s="24">
        <f>[2]胃肠外科!$Q$5</f>
        <v>7.6162215628091001</v>
      </c>
      <c r="E92" s="24">
        <f>[2]胃肠外科!$K$5</f>
        <v>7.8313253012048198</v>
      </c>
      <c r="F92" s="24">
        <f>[2]胃肠外科!$E$5</f>
        <v>13.361388742767</v>
      </c>
      <c r="G92" t="s">
        <v>59</v>
      </c>
      <c r="H92" t="s">
        <v>59</v>
      </c>
    </row>
    <row r="93" spans="1:8" x14ac:dyDescent="0.25">
      <c r="A93" t="s">
        <v>261</v>
      </c>
      <c r="B93" t="s">
        <v>59</v>
      </c>
      <c r="C93" t="s">
        <v>90</v>
      </c>
      <c r="D93" s="27" t="str">
        <f>[2]胃肠外科!$O$6</f>
        <v>腹腔镜胃大部切除伴胃空肠吻合术</v>
      </c>
      <c r="E93" s="27" t="str">
        <f>[2]胃肠外科!$I$6</f>
        <v>腹股沟斜疝补片修补术，单侧，经腹腔镜</v>
      </c>
      <c r="F93" s="27" t="str">
        <f>[2]胃肠外科!$C$6</f>
        <v>乙状结肠直肠切除术伴结肠吻合术，经腹腔镜（腹腔镜下Dixon)</v>
      </c>
      <c r="G93" t="s">
        <v>59</v>
      </c>
      <c r="H93" t="s">
        <v>59</v>
      </c>
    </row>
    <row r="94" spans="1:8" x14ac:dyDescent="0.25">
      <c r="A94" t="s">
        <v>262</v>
      </c>
      <c r="B94" t="s">
        <v>59</v>
      </c>
      <c r="C94" t="s">
        <v>90</v>
      </c>
      <c r="D94" s="28" t="str">
        <f>[2]胃肠外科!$N$6</f>
        <v>43.7x</v>
      </c>
      <c r="E94" s="28">
        <f>[2]胃肠外科!$H$6</f>
        <v>17.12</v>
      </c>
      <c r="F94" s="28" t="str">
        <f>[2]胃肠外科!$B$6</f>
        <v>48.63</v>
      </c>
      <c r="G94" t="s">
        <v>59</v>
      </c>
      <c r="H94" t="s">
        <v>59</v>
      </c>
    </row>
    <row r="95" spans="1:8" x14ac:dyDescent="0.25">
      <c r="A95" t="s">
        <v>263</v>
      </c>
      <c r="B95" t="s">
        <v>14</v>
      </c>
      <c r="C95" t="s">
        <v>90</v>
      </c>
      <c r="D95" s="24">
        <f>[2]胃肠外科!$Q$6</f>
        <v>7.0722057368941602</v>
      </c>
      <c r="E95" s="24">
        <f>[2]胃肠外科!$K$6</f>
        <v>6.0240963855421699</v>
      </c>
      <c r="F95" s="24">
        <f>[2]胃肠外科!$E$6</f>
        <v>7.5749605470804804</v>
      </c>
      <c r="G95" t="s">
        <v>59</v>
      </c>
      <c r="H95" t="s">
        <v>59</v>
      </c>
    </row>
    <row r="96" spans="1:8" x14ac:dyDescent="0.25">
      <c r="A96" t="s">
        <v>264</v>
      </c>
      <c r="B96" t="s">
        <v>59</v>
      </c>
      <c r="C96" t="s">
        <v>90</v>
      </c>
      <c r="D96" s="24" t="str">
        <f>[2]胃肠外科!$O$7</f>
        <v>单侧腹股沟斜疝无张力修补术</v>
      </c>
      <c r="E96" s="24" t="str">
        <f>[2]胃肠外科!$I$7</f>
        <v>乙状结肠直肠切除术伴结肠吻合术，经腹腔镜（腹腔镜下Dixon)</v>
      </c>
      <c r="F96" s="24" t="str">
        <f>[2]胃肠外科!$C$7</f>
        <v>胃远端切除术，伴胃空肠吻合术(毕Ⅱ式)</v>
      </c>
      <c r="G96" t="s">
        <v>59</v>
      </c>
      <c r="H96" t="s">
        <v>59</v>
      </c>
    </row>
    <row r="97" spans="1:8" x14ac:dyDescent="0.25">
      <c r="A97" t="s">
        <v>265</v>
      </c>
      <c r="B97" t="s">
        <v>59</v>
      </c>
      <c r="C97" t="s">
        <v>90</v>
      </c>
      <c r="D97" s="25">
        <f>[2]胃肠外科!$N$7</f>
        <v>53.04</v>
      </c>
      <c r="E97" s="25">
        <f>[2]胃肠外科!$H$7</f>
        <v>48.63</v>
      </c>
      <c r="F97" s="25" t="str">
        <f>[2]胃肠外科!$B$7</f>
        <v>43.70</v>
      </c>
      <c r="G97" t="s">
        <v>59</v>
      </c>
      <c r="H97" t="s">
        <v>59</v>
      </c>
    </row>
    <row r="98" spans="1:8" x14ac:dyDescent="0.25">
      <c r="A98" t="s">
        <v>266</v>
      </c>
      <c r="B98" t="s">
        <v>14</v>
      </c>
      <c r="C98" t="s">
        <v>90</v>
      </c>
      <c r="D98" s="26">
        <f>[2]胃肠外科!$Q$7</f>
        <v>6.7260138476755698</v>
      </c>
      <c r="E98" s="26">
        <f>[2]胃肠外科!$K$7</f>
        <v>9.9671412924425002</v>
      </c>
      <c r="F98" s="26">
        <f>[2]胃肠外科!$E$7</f>
        <v>6.4702788006312497</v>
      </c>
      <c r="G98" t="s">
        <v>59</v>
      </c>
      <c r="H98" t="s">
        <v>59</v>
      </c>
    </row>
    <row r="99" spans="1:8" x14ac:dyDescent="0.25">
      <c r="A99" t="s">
        <v>267</v>
      </c>
      <c r="B99" t="s">
        <v>59</v>
      </c>
      <c r="C99" t="s">
        <v>90</v>
      </c>
      <c r="D99" s="24" t="str">
        <f>[2]胃肠外科!$O$8</f>
        <v>腹腔镜下直肠前切除术</v>
      </c>
      <c r="E99" s="24" t="str">
        <f>[2]胃肠外科!$I$8</f>
        <v>肠粘连松解术</v>
      </c>
      <c r="F99" s="24" t="str">
        <f>[2]胃肠外科!$C$8</f>
        <v>十二指肠溃疡修补术</v>
      </c>
      <c r="G99" t="s">
        <v>59</v>
      </c>
      <c r="H99" t="s">
        <v>59</v>
      </c>
    </row>
    <row r="100" spans="1:8" x14ac:dyDescent="0.25">
      <c r="A100" t="s">
        <v>268</v>
      </c>
      <c r="B100" t="s">
        <v>59</v>
      </c>
      <c r="C100" t="s">
        <v>90</v>
      </c>
      <c r="D100" s="10">
        <f>[2]胃肠外科!$N$8</f>
        <v>48.63</v>
      </c>
      <c r="E100" s="10">
        <f>[2]胃肠外科!$H$8</f>
        <v>54.59</v>
      </c>
      <c r="F100" s="10" t="str">
        <f>[2]胃肠外科!$B$8</f>
        <v>44.42</v>
      </c>
      <c r="G100" t="s">
        <v>59</v>
      </c>
      <c r="H100" t="s">
        <v>59</v>
      </c>
    </row>
    <row r="101" spans="1:8" x14ac:dyDescent="0.25">
      <c r="A101" t="s">
        <v>269</v>
      </c>
      <c r="B101" t="s">
        <v>14</v>
      </c>
      <c r="C101" t="s">
        <v>90</v>
      </c>
      <c r="D101" s="10">
        <f>[2]胃肠外科!$Q$8</f>
        <v>5.2423343224530203</v>
      </c>
      <c r="E101" s="10">
        <f>[2]胃肠外科!$K$8</f>
        <v>4.6002190580503797</v>
      </c>
      <c r="F101" s="10">
        <f>[2]胃肠外科!$E$8</f>
        <v>4.2083114150447098</v>
      </c>
      <c r="G101" t="s">
        <v>59</v>
      </c>
      <c r="H101" t="s">
        <v>59</v>
      </c>
    </row>
  </sheetData>
  <phoneticPr fontId="10" type="noConversion"/>
  <conditionalFormatting sqref="D88">
    <cfRule type="duplicateValues" dxfId="179" priority="12"/>
  </conditionalFormatting>
  <conditionalFormatting sqref="E88">
    <cfRule type="duplicateValues" dxfId="178" priority="4"/>
  </conditionalFormatting>
  <conditionalFormatting sqref="F88">
    <cfRule type="duplicateValues" dxfId="177" priority="8"/>
  </conditionalFormatting>
  <conditionalFormatting sqref="D91">
    <cfRule type="duplicateValues" dxfId="176" priority="11"/>
  </conditionalFormatting>
  <conditionalFormatting sqref="E91">
    <cfRule type="duplicateValues" dxfId="175" priority="3"/>
  </conditionalFormatting>
  <conditionalFormatting sqref="F91">
    <cfRule type="duplicateValues" dxfId="174" priority="7"/>
  </conditionalFormatting>
  <conditionalFormatting sqref="D94">
    <cfRule type="duplicateValues" dxfId="173" priority="9"/>
  </conditionalFormatting>
  <conditionalFormatting sqref="E94">
    <cfRule type="duplicateValues" dxfId="172" priority="1"/>
  </conditionalFormatting>
  <conditionalFormatting sqref="F94">
    <cfRule type="duplicateValues" dxfId="171" priority="5"/>
  </conditionalFormatting>
  <conditionalFormatting sqref="D98">
    <cfRule type="duplicateValues" dxfId="170" priority="10"/>
  </conditionalFormatting>
  <conditionalFormatting sqref="E98">
    <cfRule type="duplicateValues" dxfId="169" priority="2"/>
  </conditionalFormatting>
  <conditionalFormatting sqref="F98">
    <cfRule type="duplicateValues" dxfId="168" priority="6"/>
  </conditionalFormatting>
  <pageMargins left="0.69930555555555596" right="0.69930555555555596" top="0.75" bottom="0.75" header="0.3" footer="0.3"/>
  <ignoredErrors>
    <ignoredError sqref="A2:B31 G2:H31 G34:H101 A34:B101 A1:H1"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4" width="13.08203125" customWidth="1"/>
    <col min="5" max="5" width="11.08203125" customWidth="1"/>
    <col min="6" max="6" width="13.08203125"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30</v>
      </c>
      <c r="E2" s="5">
        <v>20.975609756097601</v>
      </c>
      <c r="F2" s="5">
        <v>19.842988630211199</v>
      </c>
      <c r="G2" t="s">
        <v>16</v>
      </c>
      <c r="H2" t="s">
        <v>17</v>
      </c>
    </row>
    <row r="3" spans="1:8" x14ac:dyDescent="0.25">
      <c r="A3" t="s">
        <v>18</v>
      </c>
      <c r="B3" t="s">
        <v>14</v>
      </c>
      <c r="C3" t="s">
        <v>15</v>
      </c>
      <c r="D3" s="5">
        <v>85.163776493256293</v>
      </c>
      <c r="E3" s="5">
        <v>79.198966408268703</v>
      </c>
      <c r="F3" s="5">
        <v>82.946793997271499</v>
      </c>
      <c r="G3" t="s">
        <v>19</v>
      </c>
      <c r="H3" t="s">
        <v>20</v>
      </c>
    </row>
    <row r="4" spans="1:8" x14ac:dyDescent="0.25">
      <c r="A4" t="s">
        <v>21</v>
      </c>
      <c r="B4" t="s">
        <v>14</v>
      </c>
      <c r="C4" t="s">
        <v>15</v>
      </c>
      <c r="D4" s="5">
        <v>85.934489402697494</v>
      </c>
      <c r="E4" s="5">
        <v>79.974160206718295</v>
      </c>
      <c r="F4" s="5">
        <v>82.673942701227801</v>
      </c>
      <c r="G4" t="s">
        <v>22</v>
      </c>
      <c r="H4" t="s">
        <v>23</v>
      </c>
    </row>
    <row r="5" spans="1:8" x14ac:dyDescent="0.25">
      <c r="A5" t="s">
        <v>24</v>
      </c>
      <c r="B5" t="s">
        <v>14</v>
      </c>
      <c r="C5" t="s">
        <v>15</v>
      </c>
      <c r="D5" s="5">
        <v>97.11</v>
      </c>
      <c r="E5" s="5">
        <v>95.58</v>
      </c>
      <c r="F5" s="5">
        <v>96.7</v>
      </c>
      <c r="G5" t="s">
        <v>25</v>
      </c>
      <c r="H5" t="s">
        <v>26</v>
      </c>
    </row>
    <row r="6" spans="1:8" x14ac:dyDescent="0.25">
      <c r="A6" t="s">
        <v>33</v>
      </c>
      <c r="B6" t="s">
        <v>14</v>
      </c>
      <c r="C6" t="s">
        <v>34</v>
      </c>
      <c r="D6" s="5">
        <v>0</v>
      </c>
      <c r="E6" s="5">
        <v>0</v>
      </c>
      <c r="F6" s="5">
        <v>0</v>
      </c>
      <c r="G6" t="s">
        <v>35</v>
      </c>
      <c r="H6" t="s">
        <v>36</v>
      </c>
    </row>
    <row r="7" spans="1:8" x14ac:dyDescent="0.25">
      <c r="A7" t="s">
        <v>37</v>
      </c>
      <c r="B7" t="s">
        <v>14</v>
      </c>
      <c r="C7" t="s">
        <v>34</v>
      </c>
      <c r="D7" s="5">
        <v>0</v>
      </c>
      <c r="E7" s="5">
        <v>0</v>
      </c>
      <c r="F7" s="5">
        <v>0</v>
      </c>
      <c r="G7" t="s">
        <v>39</v>
      </c>
      <c r="H7" t="s">
        <v>40</v>
      </c>
    </row>
    <row r="8" spans="1:8" x14ac:dyDescent="0.25">
      <c r="A8" t="s">
        <v>41</v>
      </c>
      <c r="B8" t="s">
        <v>14</v>
      </c>
      <c r="C8" t="s">
        <v>10</v>
      </c>
      <c r="D8" s="5"/>
      <c r="E8" s="5"/>
      <c r="F8" s="5"/>
      <c r="G8" t="s">
        <v>39</v>
      </c>
      <c r="H8" t="s">
        <v>44</v>
      </c>
    </row>
    <row r="9" spans="1:8" x14ac:dyDescent="0.25">
      <c r="A9" t="s">
        <v>51</v>
      </c>
      <c r="B9" t="s">
        <v>14</v>
      </c>
      <c r="C9" t="s">
        <v>34</v>
      </c>
      <c r="D9" s="5">
        <v>0</v>
      </c>
      <c r="E9" s="5">
        <v>0</v>
      </c>
      <c r="F9" s="5">
        <v>0</v>
      </c>
      <c r="G9" t="s">
        <v>19</v>
      </c>
      <c r="H9" t="s">
        <v>52</v>
      </c>
    </row>
    <row r="10" spans="1:8" x14ac:dyDescent="0.25">
      <c r="A10" t="s">
        <v>57</v>
      </c>
      <c r="B10" t="s">
        <v>14</v>
      </c>
      <c r="C10" t="s">
        <v>38</v>
      </c>
      <c r="D10" s="5">
        <v>0.38</v>
      </c>
      <c r="E10" s="5">
        <v>0.51</v>
      </c>
      <c r="F10" s="5">
        <v>0.78</v>
      </c>
      <c r="G10" t="s">
        <v>58</v>
      </c>
      <c r="H10" t="s">
        <v>59</v>
      </c>
    </row>
    <row r="11" spans="1:8" x14ac:dyDescent="0.25">
      <c r="A11" t="s">
        <v>63</v>
      </c>
      <c r="B11" t="s">
        <v>64</v>
      </c>
      <c r="C11" t="s">
        <v>61</v>
      </c>
      <c r="D11" s="5">
        <v>49.760806002232599</v>
      </c>
      <c r="E11" s="5">
        <v>35.052651767656101</v>
      </c>
      <c r="F11" s="5">
        <v>33.901218240073703</v>
      </c>
      <c r="G11" t="s">
        <v>35</v>
      </c>
      <c r="H11" t="s">
        <v>65</v>
      </c>
    </row>
    <row r="12" spans="1:8" x14ac:dyDescent="0.25">
      <c r="A12" t="s">
        <v>66</v>
      </c>
      <c r="B12" t="s">
        <v>14</v>
      </c>
      <c r="C12" t="s">
        <v>61</v>
      </c>
      <c r="D12" s="5">
        <v>60.58</v>
      </c>
      <c r="E12" s="5">
        <v>80</v>
      </c>
      <c r="F12" s="5">
        <v>40.35</v>
      </c>
      <c r="G12" t="s">
        <v>39</v>
      </c>
      <c r="H12" t="s">
        <v>67</v>
      </c>
    </row>
    <row r="13" spans="1:8" x14ac:dyDescent="0.25">
      <c r="A13" t="s">
        <v>68</v>
      </c>
      <c r="B13" t="s">
        <v>14</v>
      </c>
      <c r="C13" t="s">
        <v>61</v>
      </c>
      <c r="D13" s="5">
        <v>92.17</v>
      </c>
      <c r="E13" s="5">
        <v>93.09</v>
      </c>
      <c r="F13" s="5">
        <v>87.08</v>
      </c>
      <c r="G13" t="s">
        <v>39</v>
      </c>
      <c r="H13" t="s">
        <v>69</v>
      </c>
    </row>
    <row r="14" spans="1:8" x14ac:dyDescent="0.25">
      <c r="A14" t="s">
        <v>74</v>
      </c>
      <c r="B14" t="s">
        <v>14</v>
      </c>
      <c r="C14" t="s">
        <v>75</v>
      </c>
      <c r="D14" s="42">
        <f>1/56351599*100</f>
        <v>1.7745725369745053E-6</v>
      </c>
      <c r="E14" s="18">
        <f>1075200/55860751*100</f>
        <v>1.924786152624407</v>
      </c>
      <c r="F14" s="42">
        <f>1/54607463*100</f>
        <v>1.8312515269204138E-6</v>
      </c>
      <c r="G14" t="s">
        <v>35</v>
      </c>
      <c r="H14" t="s">
        <v>76</v>
      </c>
    </row>
    <row r="15" spans="1:8" x14ac:dyDescent="0.25">
      <c r="A15" t="s">
        <v>91</v>
      </c>
      <c r="B15" t="s">
        <v>92</v>
      </c>
      <c r="C15" t="s">
        <v>15</v>
      </c>
      <c r="D15" s="5">
        <v>7.44</v>
      </c>
      <c r="E15" s="5">
        <v>7.9</v>
      </c>
      <c r="F15" s="5">
        <v>8.3000000000000007</v>
      </c>
      <c r="G15" t="s">
        <v>93</v>
      </c>
      <c r="H15" t="s">
        <v>94</v>
      </c>
    </row>
    <row r="16" spans="1:8" x14ac:dyDescent="0.25">
      <c r="A16" t="s">
        <v>95</v>
      </c>
      <c r="B16" t="s">
        <v>59</v>
      </c>
      <c r="C16" t="s">
        <v>34</v>
      </c>
      <c r="D16" s="5">
        <v>1.95</v>
      </c>
      <c r="E16" s="5">
        <v>1.63</v>
      </c>
      <c r="F16" s="5">
        <v>1.76</v>
      </c>
      <c r="G16" t="s">
        <v>96</v>
      </c>
      <c r="H16" t="s">
        <v>59</v>
      </c>
    </row>
    <row r="17" spans="1:8" x14ac:dyDescent="0.25">
      <c r="A17" t="s">
        <v>97</v>
      </c>
      <c r="B17" t="s">
        <v>98</v>
      </c>
      <c r="C17" t="s">
        <v>34</v>
      </c>
      <c r="D17" s="5">
        <v>129</v>
      </c>
      <c r="E17" s="5">
        <v>138</v>
      </c>
      <c r="F17" s="5">
        <v>140</v>
      </c>
      <c r="G17" t="s">
        <v>99</v>
      </c>
      <c r="H17" t="s">
        <v>59</v>
      </c>
    </row>
    <row r="18" spans="1:8" x14ac:dyDescent="0.25">
      <c r="A18" t="s">
        <v>104</v>
      </c>
      <c r="B18" t="s">
        <v>105</v>
      </c>
      <c r="C18" t="s">
        <v>15</v>
      </c>
      <c r="D18" s="37">
        <v>75</v>
      </c>
      <c r="E18" s="37">
        <v>75</v>
      </c>
      <c r="F18" s="37">
        <v>75</v>
      </c>
      <c r="G18" t="s">
        <v>58</v>
      </c>
      <c r="H18" t="s">
        <v>59</v>
      </c>
    </row>
    <row r="19" spans="1:8" x14ac:dyDescent="0.25">
      <c r="A19" t="s">
        <v>106</v>
      </c>
      <c r="B19" t="s">
        <v>105</v>
      </c>
      <c r="C19" t="s">
        <v>15</v>
      </c>
      <c r="D19" s="37">
        <v>77</v>
      </c>
      <c r="E19" s="37">
        <v>75</v>
      </c>
      <c r="F19" s="37">
        <v>71</v>
      </c>
      <c r="G19" t="s">
        <v>58</v>
      </c>
      <c r="H19" t="s">
        <v>59</v>
      </c>
    </row>
    <row r="20" spans="1:8" x14ac:dyDescent="0.25">
      <c r="A20" t="s">
        <v>107</v>
      </c>
      <c r="B20" t="s">
        <v>14</v>
      </c>
      <c r="C20" t="s">
        <v>15</v>
      </c>
      <c r="D20" s="5">
        <v>87.38</v>
      </c>
      <c r="E20" s="5">
        <v>105.75</v>
      </c>
      <c r="F20" s="5">
        <v>117.48</v>
      </c>
      <c r="G20" t="s">
        <v>58</v>
      </c>
      <c r="H20" t="s">
        <v>108</v>
      </c>
    </row>
    <row r="21" spans="1:8" x14ac:dyDescent="0.25">
      <c r="A21" t="s">
        <v>112</v>
      </c>
      <c r="B21" t="s">
        <v>59</v>
      </c>
      <c r="C21" t="s">
        <v>102</v>
      </c>
      <c r="D21" s="5">
        <f t="shared" ref="D21:F21" si="0">D43/D19</f>
        <v>0.12987012987012986</v>
      </c>
      <c r="E21" s="5">
        <f t="shared" si="0"/>
        <v>0.14666666666666667</v>
      </c>
      <c r="F21" s="5">
        <f t="shared" si="0"/>
        <v>0.15492957746478872</v>
      </c>
      <c r="G21" t="s">
        <v>110</v>
      </c>
      <c r="H21" t="s">
        <v>113</v>
      </c>
    </row>
    <row r="22" spans="1:8" x14ac:dyDescent="0.25">
      <c r="A22" t="s">
        <v>114</v>
      </c>
      <c r="B22" t="s">
        <v>59</v>
      </c>
      <c r="C22" t="s">
        <v>102</v>
      </c>
      <c r="D22" s="5">
        <f t="shared" ref="D22:F22" si="1">D44/D19</f>
        <v>0.31168831168831168</v>
      </c>
      <c r="E22" s="5">
        <f t="shared" si="1"/>
        <v>0.36</v>
      </c>
      <c r="F22" s="5">
        <f t="shared" si="1"/>
        <v>0.43661971830985913</v>
      </c>
      <c r="G22" t="s">
        <v>110</v>
      </c>
      <c r="H22" t="s">
        <v>115</v>
      </c>
    </row>
    <row r="23" spans="1:8" x14ac:dyDescent="0.25">
      <c r="A23" t="s">
        <v>116</v>
      </c>
      <c r="B23" t="s">
        <v>117</v>
      </c>
      <c r="C23" t="s">
        <v>118</v>
      </c>
      <c r="D23" s="5">
        <v>35.239786780487798</v>
      </c>
      <c r="E23" s="5">
        <v>32.232985410256397</v>
      </c>
      <c r="F23" s="5">
        <v>34.082129846153798</v>
      </c>
      <c r="G23" t="s">
        <v>119</v>
      </c>
      <c r="H23" t="s">
        <v>59</v>
      </c>
    </row>
    <row r="24" spans="1:8" x14ac:dyDescent="0.25">
      <c r="A24" t="s">
        <v>120</v>
      </c>
      <c r="B24" t="s">
        <v>117</v>
      </c>
      <c r="C24" t="s">
        <v>118</v>
      </c>
      <c r="D24" s="5">
        <v>70.502028048780502</v>
      </c>
      <c r="E24" s="5">
        <v>71.701403948717996</v>
      </c>
      <c r="F24" s="5">
        <v>66.248630666666699</v>
      </c>
      <c r="G24" t="s">
        <v>121</v>
      </c>
      <c r="H24" t="s">
        <v>59</v>
      </c>
    </row>
    <row r="25" spans="1:8" x14ac:dyDescent="0.25">
      <c r="A25" t="s">
        <v>122</v>
      </c>
      <c r="B25" t="s">
        <v>117</v>
      </c>
      <c r="C25" t="s">
        <v>118</v>
      </c>
      <c r="D25" s="5">
        <v>18.926267461357099</v>
      </c>
      <c r="E25" s="5">
        <v>17.298561043071398</v>
      </c>
      <c r="F25" s="5">
        <v>18.721169915493</v>
      </c>
      <c r="G25" t="s">
        <v>123</v>
      </c>
      <c r="H25" t="s">
        <v>59</v>
      </c>
    </row>
    <row r="26" spans="1:8" x14ac:dyDescent="0.25">
      <c r="A26" t="s">
        <v>124</v>
      </c>
      <c r="B26" t="s">
        <v>117</v>
      </c>
      <c r="C26" t="s">
        <v>118</v>
      </c>
      <c r="D26" s="5">
        <v>37.864594576892799</v>
      </c>
      <c r="E26" s="5">
        <v>38.480181010045399</v>
      </c>
      <c r="F26" s="5">
        <v>36.390092901408501</v>
      </c>
      <c r="G26" t="s">
        <v>125</v>
      </c>
      <c r="H26" t="s">
        <v>59</v>
      </c>
    </row>
    <row r="27" spans="1:8" x14ac:dyDescent="0.25">
      <c r="A27" t="s">
        <v>126</v>
      </c>
      <c r="B27" t="s">
        <v>127</v>
      </c>
      <c r="C27" t="s">
        <v>118</v>
      </c>
      <c r="D27" s="5">
        <v>6.6709589041095896</v>
      </c>
      <c r="E27" s="5">
        <v>7.0057285180572801</v>
      </c>
      <c r="F27" s="5">
        <v>7.5825653798256498</v>
      </c>
      <c r="G27" t="s">
        <v>39</v>
      </c>
      <c r="H27" t="s">
        <v>128</v>
      </c>
    </row>
    <row r="28" spans="1:8" x14ac:dyDescent="0.25">
      <c r="A28" t="s">
        <v>129</v>
      </c>
      <c r="B28" t="s">
        <v>14</v>
      </c>
      <c r="C28" t="s">
        <v>118</v>
      </c>
      <c r="D28" s="5">
        <v>23.199972126209101</v>
      </c>
      <c r="E28" s="5">
        <v>20.732901132402301</v>
      </c>
      <c r="F28" s="5">
        <v>22.880763635731899</v>
      </c>
      <c r="G28" t="s">
        <v>130</v>
      </c>
      <c r="H28" t="s">
        <v>131</v>
      </c>
    </row>
    <row r="29" spans="1:8" x14ac:dyDescent="0.25">
      <c r="A29" t="s">
        <v>132</v>
      </c>
      <c r="B29" t="s">
        <v>117</v>
      </c>
      <c r="C29" t="s">
        <v>118</v>
      </c>
      <c r="D29" s="5">
        <v>6227.7284220000001</v>
      </c>
      <c r="E29" s="5">
        <v>6063.2442270000001</v>
      </c>
      <c r="F29" s="5">
        <v>5809.2600629999997</v>
      </c>
      <c r="G29" t="s">
        <v>59</v>
      </c>
      <c r="H29" t="s">
        <v>133</v>
      </c>
    </row>
    <row r="30" spans="1:8" x14ac:dyDescent="0.25">
      <c r="A30" t="s">
        <v>134</v>
      </c>
      <c r="B30" t="s">
        <v>117</v>
      </c>
      <c r="C30" t="s">
        <v>118</v>
      </c>
      <c r="D30" s="5">
        <v>1444.8312579999999</v>
      </c>
      <c r="E30" s="5">
        <v>1257.0864309999999</v>
      </c>
      <c r="F30" s="5">
        <v>1329.203064</v>
      </c>
      <c r="G30" t="s">
        <v>59</v>
      </c>
      <c r="H30" t="s">
        <v>59</v>
      </c>
    </row>
    <row r="31" spans="1:8" x14ac:dyDescent="0.25">
      <c r="A31" t="s">
        <v>135</v>
      </c>
      <c r="B31" t="s">
        <v>117</v>
      </c>
      <c r="C31" t="s">
        <v>118</v>
      </c>
      <c r="D31" s="5">
        <v>2890.5831499999999</v>
      </c>
      <c r="E31" s="5">
        <v>2796.354754</v>
      </c>
      <c r="F31" s="5">
        <v>2583.6965960000002</v>
      </c>
      <c r="G31" t="s">
        <v>59</v>
      </c>
      <c r="H31" t="s">
        <v>136</v>
      </c>
    </row>
    <row r="32" spans="1:8" x14ac:dyDescent="0.25">
      <c r="A32" t="s">
        <v>216</v>
      </c>
      <c r="B32" t="s">
        <v>117</v>
      </c>
      <c r="D32" s="17">
        <v>3439.25</v>
      </c>
      <c r="E32" s="17">
        <v>3405.06</v>
      </c>
      <c r="F32" s="17">
        <v>3345.08</v>
      </c>
    </row>
    <row r="33" spans="1:8" x14ac:dyDescent="0.25">
      <c r="A33" t="s">
        <v>143</v>
      </c>
      <c r="B33" t="s">
        <v>14</v>
      </c>
      <c r="D33" s="15">
        <v>19.940000000000001</v>
      </c>
      <c r="E33" s="15">
        <v>22.62</v>
      </c>
      <c r="F33" s="15">
        <v>25.46</v>
      </c>
    </row>
    <row r="34" spans="1:8" x14ac:dyDescent="0.25">
      <c r="A34" t="s">
        <v>137</v>
      </c>
      <c r="B34" t="s">
        <v>138</v>
      </c>
      <c r="C34" t="s">
        <v>139</v>
      </c>
      <c r="D34" s="5"/>
      <c r="E34" s="5"/>
      <c r="F34" s="5"/>
      <c r="G34" t="s">
        <v>35</v>
      </c>
      <c r="H34" t="s">
        <v>140</v>
      </c>
    </row>
    <row r="35" spans="1:8" x14ac:dyDescent="0.25">
      <c r="A35" t="s">
        <v>217</v>
      </c>
      <c r="B35" t="s">
        <v>14</v>
      </c>
      <c r="C35" t="s">
        <v>118</v>
      </c>
      <c r="D35" s="5">
        <v>15.369214393144899</v>
      </c>
      <c r="E35" s="5">
        <v>11.013108741793101</v>
      </c>
      <c r="F35" s="5">
        <v>2.8855431187811802</v>
      </c>
      <c r="G35" t="s">
        <v>22</v>
      </c>
      <c r="H35" t="s">
        <v>218</v>
      </c>
    </row>
    <row r="36" spans="1:8" x14ac:dyDescent="0.25">
      <c r="A36" t="s">
        <v>219</v>
      </c>
      <c r="B36" t="s">
        <v>14</v>
      </c>
      <c r="C36" t="s">
        <v>118</v>
      </c>
      <c r="D36" s="5">
        <v>84.630785606855099</v>
      </c>
      <c r="E36" s="5">
        <v>88.986891258206896</v>
      </c>
      <c r="F36" s="5">
        <v>97.1144568812188</v>
      </c>
      <c r="G36" t="s">
        <v>22</v>
      </c>
      <c r="H36" t="s">
        <v>220</v>
      </c>
    </row>
    <row r="37" spans="1:8" x14ac:dyDescent="0.25">
      <c r="A37" t="s">
        <v>144</v>
      </c>
      <c r="B37" t="s">
        <v>14</v>
      </c>
      <c r="C37" t="s">
        <v>118</v>
      </c>
      <c r="D37" s="5">
        <v>2.7128083389341602</v>
      </c>
      <c r="E37" s="5">
        <v>4.3720570476378002</v>
      </c>
      <c r="F37" s="5">
        <v>26.337405924549799</v>
      </c>
      <c r="G37" t="s">
        <v>35</v>
      </c>
      <c r="H37" t="s">
        <v>145</v>
      </c>
    </row>
    <row r="38" spans="1:8" x14ac:dyDescent="0.25">
      <c r="A38" t="s">
        <v>146</v>
      </c>
      <c r="B38" t="s">
        <v>14</v>
      </c>
      <c r="C38" t="s">
        <v>118</v>
      </c>
      <c r="D38" s="5">
        <v>12.199099514250699</v>
      </c>
      <c r="E38" s="5">
        <v>247.662352023604</v>
      </c>
      <c r="F38" s="5">
        <v>2.7969210778209601</v>
      </c>
      <c r="G38" t="s">
        <v>35</v>
      </c>
      <c r="H38" t="s">
        <v>147</v>
      </c>
    </row>
    <row r="39" spans="1:8" x14ac:dyDescent="0.25">
      <c r="A39" t="s">
        <v>148</v>
      </c>
      <c r="B39" t="s">
        <v>14</v>
      </c>
      <c r="C39" t="s">
        <v>118</v>
      </c>
      <c r="D39" s="5">
        <v>6.2748520387544602</v>
      </c>
      <c r="E39" s="5">
        <v>-1.4768585355314801</v>
      </c>
      <c r="F39" s="5">
        <v>11.995076284085901</v>
      </c>
      <c r="G39" t="s">
        <v>35</v>
      </c>
      <c r="H39" t="s">
        <v>149</v>
      </c>
    </row>
    <row r="40" spans="1:8" x14ac:dyDescent="0.25">
      <c r="A40" t="s">
        <v>150</v>
      </c>
      <c r="B40" t="s">
        <v>14</v>
      </c>
      <c r="C40" t="s">
        <v>118</v>
      </c>
      <c r="D40" s="5">
        <v>15.1622698329321</v>
      </c>
      <c r="E40" s="5">
        <v>1653.4715334569501</v>
      </c>
      <c r="F40" s="5">
        <v>-5.6922403627348102</v>
      </c>
      <c r="G40" t="s">
        <v>35</v>
      </c>
      <c r="H40" t="s">
        <v>151</v>
      </c>
    </row>
    <row r="41" spans="1:8" x14ac:dyDescent="0.25">
      <c r="A41" t="s">
        <v>152</v>
      </c>
      <c r="B41" t="s">
        <v>14</v>
      </c>
      <c r="C41" t="s">
        <v>118</v>
      </c>
      <c r="D41" s="5">
        <v>-19.1512247216981</v>
      </c>
      <c r="E41" s="5">
        <v>-16.683705127858602</v>
      </c>
      <c r="F41" s="5">
        <v>25.513254739574499</v>
      </c>
      <c r="G41" t="s">
        <v>35</v>
      </c>
      <c r="H41" t="s">
        <v>153</v>
      </c>
    </row>
    <row r="42" spans="1:8" x14ac:dyDescent="0.25">
      <c r="A42" t="s">
        <v>164</v>
      </c>
      <c r="B42" t="s">
        <v>59</v>
      </c>
      <c r="C42" t="s">
        <v>102</v>
      </c>
      <c r="D42" s="5">
        <v>0.42</v>
      </c>
      <c r="E42" s="5">
        <v>0.41</v>
      </c>
      <c r="F42" s="5">
        <v>0.35</v>
      </c>
      <c r="G42" t="s">
        <v>165</v>
      </c>
      <c r="H42" t="s">
        <v>166</v>
      </c>
    </row>
    <row r="43" spans="1:8" x14ac:dyDescent="0.25">
      <c r="A43" t="s">
        <v>167</v>
      </c>
      <c r="B43" t="s">
        <v>101</v>
      </c>
      <c r="C43" t="s">
        <v>102</v>
      </c>
      <c r="D43" s="37">
        <v>10</v>
      </c>
      <c r="E43" s="37">
        <v>11</v>
      </c>
      <c r="F43" s="37">
        <v>11</v>
      </c>
      <c r="G43" t="s">
        <v>168</v>
      </c>
      <c r="H43" t="s">
        <v>59</v>
      </c>
    </row>
    <row r="44" spans="1:8" x14ac:dyDescent="0.25">
      <c r="A44" t="s">
        <v>169</v>
      </c>
      <c r="B44" t="s">
        <v>101</v>
      </c>
      <c r="C44" t="s">
        <v>102</v>
      </c>
      <c r="D44" s="37">
        <v>24</v>
      </c>
      <c r="E44" s="37">
        <v>27</v>
      </c>
      <c r="F44" s="37">
        <v>31</v>
      </c>
      <c r="G44" t="s">
        <v>168</v>
      </c>
      <c r="H44" t="s">
        <v>59</v>
      </c>
    </row>
    <row r="45" spans="1:8" x14ac:dyDescent="0.25">
      <c r="A45" t="s">
        <v>221</v>
      </c>
      <c r="B45" t="s">
        <v>14</v>
      </c>
      <c r="C45" t="s">
        <v>102</v>
      </c>
      <c r="D45" s="5">
        <v>40</v>
      </c>
      <c r="E45" s="5">
        <v>36.36</v>
      </c>
      <c r="F45" s="5">
        <v>36.36</v>
      </c>
      <c r="G45" t="s">
        <v>59</v>
      </c>
      <c r="H45" t="s">
        <v>222</v>
      </c>
    </row>
    <row r="46" spans="1:8" x14ac:dyDescent="0.25">
      <c r="A46" t="s">
        <v>223</v>
      </c>
      <c r="B46" t="s">
        <v>14</v>
      </c>
      <c r="C46" t="s">
        <v>102</v>
      </c>
      <c r="D46" s="5">
        <v>10</v>
      </c>
      <c r="E46" s="5">
        <v>9.09</v>
      </c>
      <c r="F46" s="5">
        <v>9.09</v>
      </c>
      <c r="G46" t="s">
        <v>59</v>
      </c>
      <c r="H46" t="s">
        <v>224</v>
      </c>
    </row>
    <row r="47" spans="1:8" x14ac:dyDescent="0.25">
      <c r="A47" t="s">
        <v>225</v>
      </c>
      <c r="B47" t="s">
        <v>14</v>
      </c>
      <c r="C47" t="s">
        <v>102</v>
      </c>
      <c r="D47" s="5">
        <v>60</v>
      </c>
      <c r="E47" s="5">
        <v>63.64</v>
      </c>
      <c r="F47" s="5">
        <v>63.64</v>
      </c>
      <c r="G47" t="s">
        <v>59</v>
      </c>
      <c r="H47" t="s">
        <v>226</v>
      </c>
    </row>
    <row r="48" spans="1:8" x14ac:dyDescent="0.25">
      <c r="A48" t="s">
        <v>188</v>
      </c>
      <c r="B48" t="s">
        <v>59</v>
      </c>
      <c r="C48" t="s">
        <v>176</v>
      </c>
      <c r="D48" s="5">
        <v>0</v>
      </c>
      <c r="E48" s="5">
        <v>0</v>
      </c>
      <c r="F48" s="5">
        <v>0</v>
      </c>
      <c r="G48" t="s">
        <v>186</v>
      </c>
      <c r="H48" t="s">
        <v>189</v>
      </c>
    </row>
    <row r="49" spans="1:8" x14ac:dyDescent="0.25">
      <c r="A49" t="s">
        <v>190</v>
      </c>
      <c r="B49" t="s">
        <v>59</v>
      </c>
      <c r="C49" t="s">
        <v>176</v>
      </c>
      <c r="D49" s="5">
        <v>0</v>
      </c>
      <c r="E49" s="5">
        <v>0</v>
      </c>
      <c r="F49" s="5">
        <v>0</v>
      </c>
      <c r="G49" t="s">
        <v>191</v>
      </c>
      <c r="H49" t="s">
        <v>192</v>
      </c>
    </row>
    <row r="50" spans="1:8" x14ac:dyDescent="0.25">
      <c r="A50" t="s">
        <v>193</v>
      </c>
      <c r="B50" t="s">
        <v>59</v>
      </c>
      <c r="C50" t="s">
        <v>176</v>
      </c>
      <c r="D50" s="5">
        <v>0</v>
      </c>
      <c r="E50" s="5">
        <v>0</v>
      </c>
      <c r="F50" s="5">
        <v>0</v>
      </c>
      <c r="G50" t="s">
        <v>191</v>
      </c>
      <c r="H50" t="s">
        <v>194</v>
      </c>
    </row>
    <row r="51" spans="1:8" x14ac:dyDescent="0.25">
      <c r="A51" t="s">
        <v>195</v>
      </c>
      <c r="B51" t="s">
        <v>196</v>
      </c>
      <c r="C51" t="s">
        <v>176</v>
      </c>
      <c r="D51" s="5">
        <v>1266379.8235294099</v>
      </c>
      <c r="E51" s="5">
        <v>0</v>
      </c>
      <c r="F51" s="5">
        <v>1219339.0476190499</v>
      </c>
      <c r="G51" t="s">
        <v>39</v>
      </c>
      <c r="H51" t="s">
        <v>197</v>
      </c>
    </row>
    <row r="52" spans="1:8" x14ac:dyDescent="0.25">
      <c r="A52" t="s">
        <v>198</v>
      </c>
      <c r="B52" t="s">
        <v>196</v>
      </c>
      <c r="C52" t="s">
        <v>176</v>
      </c>
      <c r="D52" s="5">
        <v>0</v>
      </c>
      <c r="E52" s="5">
        <v>0</v>
      </c>
      <c r="F52" s="5">
        <v>0</v>
      </c>
      <c r="G52" t="s">
        <v>22</v>
      </c>
      <c r="H52" t="s">
        <v>199</v>
      </c>
    </row>
    <row r="53" spans="1:8" x14ac:dyDescent="0.25">
      <c r="A53" t="s">
        <v>200</v>
      </c>
      <c r="B53" t="s">
        <v>201</v>
      </c>
      <c r="C53" t="s">
        <v>176</v>
      </c>
      <c r="D53" s="5">
        <v>0</v>
      </c>
      <c r="E53" s="5">
        <v>0</v>
      </c>
      <c r="F53" s="5">
        <v>0</v>
      </c>
      <c r="G53" t="s">
        <v>202</v>
      </c>
      <c r="H53" t="s">
        <v>59</v>
      </c>
    </row>
    <row r="54" spans="1:8" x14ac:dyDescent="0.25">
      <c r="A54" t="s">
        <v>203</v>
      </c>
      <c r="B54" t="s">
        <v>204</v>
      </c>
      <c r="C54" t="s">
        <v>176</v>
      </c>
      <c r="D54" s="5">
        <v>0.3</v>
      </c>
      <c r="E54" s="5">
        <v>0</v>
      </c>
      <c r="F54" s="5">
        <v>0</v>
      </c>
      <c r="G54" t="s">
        <v>205</v>
      </c>
      <c r="H54" t="s">
        <v>59</v>
      </c>
    </row>
    <row r="55" spans="1:8" x14ac:dyDescent="0.25">
      <c r="A55" t="s">
        <v>206</v>
      </c>
      <c r="B55" t="s">
        <v>207</v>
      </c>
      <c r="C55" t="s">
        <v>176</v>
      </c>
      <c r="D55" s="5">
        <v>1.1499999999999999</v>
      </c>
      <c r="E55" s="5">
        <v>0</v>
      </c>
      <c r="F55" s="5">
        <v>0</v>
      </c>
      <c r="G55" t="s">
        <v>205</v>
      </c>
      <c r="H55" t="s">
        <v>59</v>
      </c>
    </row>
    <row r="56" spans="1:8" x14ac:dyDescent="0.25">
      <c r="A56" t="s">
        <v>208</v>
      </c>
      <c r="B56" t="s">
        <v>14</v>
      </c>
      <c r="C56" t="s">
        <v>176</v>
      </c>
      <c r="D56" s="5">
        <v>0</v>
      </c>
      <c r="E56" s="5">
        <v>0</v>
      </c>
      <c r="F56" s="5">
        <v>0</v>
      </c>
      <c r="G56" t="s">
        <v>59</v>
      </c>
      <c r="H56" t="s">
        <v>209</v>
      </c>
    </row>
    <row r="57" spans="1:8" x14ac:dyDescent="0.25">
      <c r="A57" t="s">
        <v>210</v>
      </c>
      <c r="B57" t="s">
        <v>14</v>
      </c>
      <c r="C57" t="s">
        <v>176</v>
      </c>
      <c r="D57" s="5">
        <v>0</v>
      </c>
      <c r="E57" s="5">
        <v>0</v>
      </c>
      <c r="F57" s="5">
        <v>0</v>
      </c>
      <c r="G57" t="s">
        <v>59</v>
      </c>
      <c r="H57" t="s">
        <v>211</v>
      </c>
    </row>
    <row r="58" spans="1:8" x14ac:dyDescent="0.25">
      <c r="A58" t="s">
        <v>212</v>
      </c>
      <c r="B58" t="s">
        <v>14</v>
      </c>
      <c r="C58" t="s">
        <v>15</v>
      </c>
      <c r="D58" s="9">
        <v>2.48554913294798</v>
      </c>
      <c r="E58" s="9">
        <v>2.8455284552845499</v>
      </c>
      <c r="F58" s="9">
        <v>4.6291283161884103</v>
      </c>
      <c r="G58" t="s">
        <v>59</v>
      </c>
      <c r="H58" t="s">
        <v>213</v>
      </c>
    </row>
    <row r="59" spans="1:8" x14ac:dyDescent="0.25">
      <c r="A59" t="s">
        <v>214</v>
      </c>
      <c r="B59" t="s">
        <v>14</v>
      </c>
      <c r="C59" t="s">
        <v>15</v>
      </c>
      <c r="D59" s="5">
        <v>0.60693641618497096</v>
      </c>
      <c r="E59" s="5">
        <v>0.43360433604336002</v>
      </c>
      <c r="F59" s="5">
        <v>1.5159718462371401</v>
      </c>
      <c r="G59" t="s">
        <v>59</v>
      </c>
      <c r="H59" t="s">
        <v>215</v>
      </c>
    </row>
    <row r="60" spans="1:8" x14ac:dyDescent="0.25">
      <c r="A60" t="s">
        <v>227</v>
      </c>
      <c r="B60" t="s">
        <v>207</v>
      </c>
      <c r="C60" t="s">
        <v>176</v>
      </c>
      <c r="D60" s="5">
        <v>0</v>
      </c>
      <c r="E60" s="5">
        <v>0</v>
      </c>
      <c r="F60" s="5">
        <v>0</v>
      </c>
      <c r="G60" t="s">
        <v>228</v>
      </c>
      <c r="H60" t="s">
        <v>59</v>
      </c>
    </row>
    <row r="61" spans="1:8" x14ac:dyDescent="0.25">
      <c r="A61" t="s">
        <v>229</v>
      </c>
      <c r="B61" t="s">
        <v>207</v>
      </c>
      <c r="C61" t="s">
        <v>176</v>
      </c>
      <c r="D61" s="5">
        <v>0</v>
      </c>
      <c r="E61" s="5">
        <v>0</v>
      </c>
      <c r="F61" s="5">
        <v>0</v>
      </c>
      <c r="G61" t="s">
        <v>228</v>
      </c>
      <c r="H61" t="s">
        <v>59</v>
      </c>
    </row>
    <row r="62" spans="1:8" x14ac:dyDescent="0.25">
      <c r="A62" t="s">
        <v>230</v>
      </c>
      <c r="B62" t="s">
        <v>207</v>
      </c>
      <c r="C62" t="s">
        <v>176</v>
      </c>
      <c r="D62" s="5">
        <v>0</v>
      </c>
      <c r="E62" s="5">
        <v>0</v>
      </c>
      <c r="F62" s="5">
        <v>0</v>
      </c>
      <c r="G62" t="s">
        <v>228</v>
      </c>
      <c r="H62" t="s">
        <v>59</v>
      </c>
    </row>
    <row r="63" spans="1:8" x14ac:dyDescent="0.25">
      <c r="A63" t="s">
        <v>231</v>
      </c>
      <c r="B63" t="s">
        <v>207</v>
      </c>
      <c r="C63" t="s">
        <v>176</v>
      </c>
      <c r="D63" s="5">
        <v>0</v>
      </c>
      <c r="E63" s="5">
        <v>0</v>
      </c>
      <c r="F63" s="5">
        <v>0</v>
      </c>
      <c r="G63" t="s">
        <v>228</v>
      </c>
      <c r="H63" t="s">
        <v>59</v>
      </c>
    </row>
    <row r="64" spans="1:8" x14ac:dyDescent="0.25">
      <c r="A64" t="s">
        <v>232</v>
      </c>
      <c r="B64" t="s">
        <v>207</v>
      </c>
      <c r="C64" t="s">
        <v>176</v>
      </c>
      <c r="D64" s="5">
        <v>1</v>
      </c>
      <c r="E64" s="5">
        <v>1</v>
      </c>
      <c r="F64" s="5">
        <v>1</v>
      </c>
      <c r="G64" t="s">
        <v>228</v>
      </c>
      <c r="H64" t="s">
        <v>59</v>
      </c>
    </row>
    <row r="65" spans="1:8" x14ac:dyDescent="0.25">
      <c r="A65" t="s">
        <v>233</v>
      </c>
      <c r="B65" t="s">
        <v>207</v>
      </c>
      <c r="C65" t="s">
        <v>176</v>
      </c>
      <c r="D65" s="5">
        <v>0</v>
      </c>
      <c r="E65" s="5">
        <v>0</v>
      </c>
      <c r="F65" s="5">
        <v>0</v>
      </c>
      <c r="G65" t="s">
        <v>228</v>
      </c>
      <c r="H65" t="s">
        <v>59</v>
      </c>
    </row>
    <row r="66" spans="1:8" x14ac:dyDescent="0.25">
      <c r="A66" t="s">
        <v>234</v>
      </c>
      <c r="B66" t="s">
        <v>207</v>
      </c>
      <c r="C66" t="s">
        <v>176</v>
      </c>
      <c r="D66" s="5">
        <v>0</v>
      </c>
      <c r="E66" s="5">
        <v>0</v>
      </c>
      <c r="F66" s="5">
        <v>0</v>
      </c>
      <c r="G66" t="s">
        <v>228</v>
      </c>
      <c r="H66" t="s">
        <v>59</v>
      </c>
    </row>
    <row r="67" spans="1:8" x14ac:dyDescent="0.25">
      <c r="A67" t="s">
        <v>235</v>
      </c>
      <c r="B67" t="s">
        <v>207</v>
      </c>
      <c r="C67" t="s">
        <v>176</v>
      </c>
      <c r="D67" s="5">
        <v>1</v>
      </c>
      <c r="E67" s="5">
        <v>1</v>
      </c>
      <c r="F67" s="5">
        <v>1</v>
      </c>
      <c r="G67" t="s">
        <v>228</v>
      </c>
      <c r="H67" t="s">
        <v>59</v>
      </c>
    </row>
    <row r="68" spans="1:8" x14ac:dyDescent="0.25">
      <c r="A68" t="s">
        <v>236</v>
      </c>
      <c r="B68" t="s">
        <v>207</v>
      </c>
      <c r="C68" t="s">
        <v>176</v>
      </c>
      <c r="D68" s="5">
        <v>0</v>
      </c>
      <c r="E68" s="5">
        <v>0</v>
      </c>
      <c r="F68" s="5">
        <v>0</v>
      </c>
      <c r="G68" t="s">
        <v>228</v>
      </c>
      <c r="H68" t="s">
        <v>59</v>
      </c>
    </row>
    <row r="69" spans="1:8" x14ac:dyDescent="0.25">
      <c r="A69" t="s">
        <v>237</v>
      </c>
      <c r="B69" t="s">
        <v>207</v>
      </c>
      <c r="C69" t="s">
        <v>176</v>
      </c>
      <c r="D69" s="5">
        <v>0</v>
      </c>
      <c r="E69" s="5">
        <v>0</v>
      </c>
      <c r="F69" s="5">
        <v>0</v>
      </c>
      <c r="G69" t="s">
        <v>228</v>
      </c>
      <c r="H69" t="s">
        <v>59</v>
      </c>
    </row>
    <row r="70" spans="1:8" x14ac:dyDescent="0.25">
      <c r="A70" t="s">
        <v>238</v>
      </c>
      <c r="B70" t="s">
        <v>207</v>
      </c>
      <c r="C70" t="s">
        <v>176</v>
      </c>
      <c r="D70" s="5">
        <v>0</v>
      </c>
      <c r="E70" s="5">
        <v>0</v>
      </c>
      <c r="F70" s="5">
        <v>0</v>
      </c>
      <c r="G70" t="s">
        <v>228</v>
      </c>
      <c r="H70" t="s">
        <v>59</v>
      </c>
    </row>
    <row r="71" spans="1:8" x14ac:dyDescent="0.25">
      <c r="A71" t="s">
        <v>239</v>
      </c>
      <c r="B71" t="s">
        <v>207</v>
      </c>
      <c r="C71" t="s">
        <v>176</v>
      </c>
      <c r="D71" s="5">
        <v>0</v>
      </c>
      <c r="E71" s="5">
        <v>0</v>
      </c>
      <c r="F71" s="5">
        <v>0</v>
      </c>
      <c r="G71" t="s">
        <v>228</v>
      </c>
      <c r="H71" t="s">
        <v>59</v>
      </c>
    </row>
    <row r="72" spans="1:8" x14ac:dyDescent="0.25">
      <c r="A72" t="s">
        <v>240</v>
      </c>
      <c r="B72" t="s">
        <v>59</v>
      </c>
      <c r="C72" t="s">
        <v>90</v>
      </c>
      <c r="D72" s="10" t="str">
        <f>[1]胸外科!$O$4</f>
        <v>为肿瘤化学治疗疗程</v>
      </c>
      <c r="E72" s="10" t="str">
        <f>[1]胸外科!$I$4</f>
        <v>为肿瘤化学治疗疗程</v>
      </c>
      <c r="F72" s="10" t="str">
        <f>[1]胸外科!$C$4</f>
        <v>为肿瘤化学治疗疗程</v>
      </c>
      <c r="G72" t="s">
        <v>59</v>
      </c>
      <c r="H72" t="s">
        <v>59</v>
      </c>
    </row>
    <row r="73" spans="1:8" x14ac:dyDescent="0.25">
      <c r="A73" t="s">
        <v>241</v>
      </c>
      <c r="B73" t="s">
        <v>59</v>
      </c>
      <c r="C73" t="s">
        <v>90</v>
      </c>
      <c r="D73" s="10" t="str">
        <f>[1]胸外科!$N$4</f>
        <v>Z51.1</v>
      </c>
      <c r="E73" s="10" t="str">
        <f>[1]胸外科!$H$4</f>
        <v>Z51.1</v>
      </c>
      <c r="F73" s="10" t="str">
        <f>[1]胸外科!$B$4</f>
        <v>Z51.1</v>
      </c>
      <c r="G73" t="s">
        <v>59</v>
      </c>
      <c r="H73" t="s">
        <v>59</v>
      </c>
    </row>
    <row r="74" spans="1:8" x14ac:dyDescent="0.25">
      <c r="A74" t="s">
        <v>242</v>
      </c>
      <c r="B74" t="s">
        <v>14</v>
      </c>
      <c r="C74" t="s">
        <v>90</v>
      </c>
      <c r="D74" s="10">
        <f>[1]胸外科!$Q$4</f>
        <v>27.774566473988401</v>
      </c>
      <c r="E74" s="10">
        <f>[1]胸外科!$K$4</f>
        <v>30.135501355013499</v>
      </c>
      <c r="F74" s="10">
        <f>[1]胸外科!$E$4</f>
        <v>28.586897671900399</v>
      </c>
      <c r="G74" t="s">
        <v>59</v>
      </c>
      <c r="H74" t="s">
        <v>59</v>
      </c>
    </row>
    <row r="75" spans="1:8" x14ac:dyDescent="0.25">
      <c r="A75" t="s">
        <v>243</v>
      </c>
      <c r="B75" t="s">
        <v>59</v>
      </c>
      <c r="C75" t="s">
        <v>90</v>
      </c>
      <c r="D75" s="10" t="str">
        <f>[1]胸外科!$O$5</f>
        <v>肺恶性肿瘤</v>
      </c>
      <c r="E75" s="10" t="str">
        <f>[1]胸外科!$I$5</f>
        <v>抗肿瘤治疗</v>
      </c>
      <c r="F75" s="10" t="str">
        <f>[1]胸外科!$C$5</f>
        <v>抗肿瘤治疗</v>
      </c>
      <c r="G75" t="s">
        <v>59</v>
      </c>
      <c r="H75" t="s">
        <v>59</v>
      </c>
    </row>
    <row r="76" spans="1:8" x14ac:dyDescent="0.25">
      <c r="A76" t="s">
        <v>244</v>
      </c>
      <c r="B76" t="s">
        <v>59</v>
      </c>
      <c r="C76" t="s">
        <v>90</v>
      </c>
      <c r="D76" s="10" t="str">
        <f>[1]胸外科!$N$5</f>
        <v>C34</v>
      </c>
      <c r="E76" s="10" t="str">
        <f>[1]胸外科!$H$5</f>
        <v>Z51.8</v>
      </c>
      <c r="F76" s="10" t="str">
        <f>[1]胸外科!$B$5</f>
        <v>Z51.8</v>
      </c>
      <c r="G76" t="s">
        <v>59</v>
      </c>
      <c r="H76" t="s">
        <v>59</v>
      </c>
    </row>
    <row r="77" spans="1:8" x14ac:dyDescent="0.25">
      <c r="A77" t="s">
        <v>245</v>
      </c>
      <c r="B77" t="s">
        <v>14</v>
      </c>
      <c r="C77" t="s">
        <v>90</v>
      </c>
      <c r="D77" s="10">
        <f>[1]胸外科!$Q$5</f>
        <v>18.236994219653202</v>
      </c>
      <c r="E77" s="10">
        <f>[1]胸外科!$K$5</f>
        <v>20.4065040650407</v>
      </c>
      <c r="F77" s="10">
        <f>[1]胸外科!$E$5</f>
        <v>22.008662696264199</v>
      </c>
      <c r="G77" t="s">
        <v>59</v>
      </c>
      <c r="H77" t="s">
        <v>59</v>
      </c>
    </row>
    <row r="78" spans="1:8" x14ac:dyDescent="0.25">
      <c r="A78" t="s">
        <v>246</v>
      </c>
      <c r="B78" t="s">
        <v>59</v>
      </c>
      <c r="C78" t="s">
        <v>90</v>
      </c>
      <c r="D78" s="10" t="str">
        <f>[1]胸外科!$O$6</f>
        <v>抗肿瘤治疗</v>
      </c>
      <c r="E78" s="10" t="str">
        <f>[1]胸外科!$I$6</f>
        <v>肺恶性肿瘤</v>
      </c>
      <c r="F78" s="10" t="str">
        <f>[1]胸外科!$C$6</f>
        <v>肺恶性肿瘤</v>
      </c>
      <c r="G78" t="s">
        <v>59</v>
      </c>
      <c r="H78" t="s">
        <v>59</v>
      </c>
    </row>
    <row r="79" spans="1:8" x14ac:dyDescent="0.25">
      <c r="A79" t="s">
        <v>247</v>
      </c>
      <c r="B79" t="s">
        <v>59</v>
      </c>
      <c r="C79" t="s">
        <v>90</v>
      </c>
      <c r="D79" s="10" t="str">
        <f>[1]胸外科!$N$6</f>
        <v>Z51.8</v>
      </c>
      <c r="E79" s="10" t="str">
        <f>[1]胸外科!$H$6</f>
        <v>C34</v>
      </c>
      <c r="F79" s="10" t="str">
        <f>[1]胸外科!$B$6</f>
        <v>C34</v>
      </c>
      <c r="G79" t="s">
        <v>59</v>
      </c>
      <c r="H79" t="s">
        <v>59</v>
      </c>
    </row>
    <row r="80" spans="1:8" x14ac:dyDescent="0.25">
      <c r="A80" t="s">
        <v>248</v>
      </c>
      <c r="B80" t="s">
        <v>14</v>
      </c>
      <c r="C80" t="s">
        <v>90</v>
      </c>
      <c r="D80" s="10">
        <f>[1]胸外科!$Q$6</f>
        <v>12.774566473988401</v>
      </c>
      <c r="E80" s="10">
        <f>[1]胸外科!$K$6</f>
        <v>14.8780487804878</v>
      </c>
      <c r="F80" s="10">
        <f>[1]胸外科!$E$6</f>
        <v>14.266377910124501</v>
      </c>
      <c r="G80" t="s">
        <v>59</v>
      </c>
      <c r="H80" t="s">
        <v>59</v>
      </c>
    </row>
    <row r="81" spans="1:8" x14ac:dyDescent="0.25">
      <c r="A81" t="s">
        <v>249</v>
      </c>
      <c r="B81" t="s">
        <v>59</v>
      </c>
      <c r="C81" t="s">
        <v>90</v>
      </c>
      <c r="D81" s="10" t="str">
        <f>[1]胸外科!$O$7</f>
        <v>肺气肿</v>
      </c>
      <c r="E81" s="10" t="str">
        <f>[1]胸外科!$I$7</f>
        <v>食管恶性肿瘤</v>
      </c>
      <c r="F81" s="10" t="str">
        <f>[1]胸外科!$C$7</f>
        <v>肺气肿</v>
      </c>
      <c r="G81" t="s">
        <v>59</v>
      </c>
      <c r="H81" t="s">
        <v>59</v>
      </c>
    </row>
    <row r="82" spans="1:8" x14ac:dyDescent="0.25">
      <c r="A82" t="s">
        <v>250</v>
      </c>
      <c r="B82" t="s">
        <v>59</v>
      </c>
      <c r="C82" t="s">
        <v>90</v>
      </c>
      <c r="D82" s="10" t="str">
        <f>[1]胸外科!$N$7</f>
        <v>J43</v>
      </c>
      <c r="E82" s="10" t="str">
        <f>[1]胸外科!$H$7</f>
        <v>C15</v>
      </c>
      <c r="F82" s="10" t="str">
        <f>[1]胸外科!$B$7</f>
        <v>J43</v>
      </c>
      <c r="G82" t="s">
        <v>59</v>
      </c>
      <c r="H82" t="s">
        <v>59</v>
      </c>
    </row>
    <row r="83" spans="1:8" x14ac:dyDescent="0.25">
      <c r="A83" t="s">
        <v>251</v>
      </c>
      <c r="B83" t="s">
        <v>14</v>
      </c>
      <c r="C83" t="s">
        <v>90</v>
      </c>
      <c r="D83" s="10">
        <f>[1]胸外科!$Q$7</f>
        <v>3.5838150289017299</v>
      </c>
      <c r="E83" s="10">
        <f>[1]胸外科!$K$7</f>
        <v>3.1165311653116499</v>
      </c>
      <c r="F83" s="10">
        <f>[1]胸外科!$E$7</f>
        <v>3.2755820249052499</v>
      </c>
      <c r="G83" t="s">
        <v>59</v>
      </c>
      <c r="H83" t="s">
        <v>59</v>
      </c>
    </row>
    <row r="84" spans="1:8" x14ac:dyDescent="0.25">
      <c r="A84" t="s">
        <v>252</v>
      </c>
      <c r="B84" t="s">
        <v>59</v>
      </c>
      <c r="C84" t="s">
        <v>90</v>
      </c>
      <c r="D84" s="10" t="str">
        <f>[1]胸外科!$O$8</f>
        <v>其他呼吸性疾患</v>
      </c>
      <c r="E84" s="10" t="str">
        <f>[1]胸外科!$I$8</f>
        <v>肺气肿</v>
      </c>
      <c r="F84" s="10" t="str">
        <f>[1]胸外科!$C$8</f>
        <v>食管恶性肿瘤</v>
      </c>
      <c r="G84" t="s">
        <v>59</v>
      </c>
      <c r="H84" t="s">
        <v>59</v>
      </c>
    </row>
    <row r="85" spans="1:8" x14ac:dyDescent="0.25">
      <c r="A85" t="s">
        <v>253</v>
      </c>
      <c r="B85" t="s">
        <v>59</v>
      </c>
      <c r="C85" t="s">
        <v>90</v>
      </c>
      <c r="D85" s="10" t="str">
        <f>[1]胸外科!$N$8</f>
        <v>J98</v>
      </c>
      <c r="E85" s="10" t="str">
        <f>[1]胸外科!$H$8</f>
        <v>J43</v>
      </c>
      <c r="F85" s="10" t="str">
        <f>[1]胸外科!$B$8</f>
        <v>C15</v>
      </c>
      <c r="G85" t="s">
        <v>59</v>
      </c>
      <c r="H85" t="s">
        <v>59</v>
      </c>
    </row>
    <row r="86" spans="1:8" x14ac:dyDescent="0.25">
      <c r="A86" t="s">
        <v>254</v>
      </c>
      <c r="B86" t="s">
        <v>14</v>
      </c>
      <c r="C86" t="s">
        <v>90</v>
      </c>
      <c r="D86" s="10">
        <f>[1]胸外科!$Q$8</f>
        <v>3.4393063583814998</v>
      </c>
      <c r="E86" s="10">
        <f>[1]胸外科!$K$8</f>
        <v>3.1165311653116499</v>
      </c>
      <c r="F86" s="10">
        <f>[1]胸外科!$E$8</f>
        <v>2.7612344342176498</v>
      </c>
      <c r="G86" t="s">
        <v>59</v>
      </c>
      <c r="H86" t="s">
        <v>59</v>
      </c>
    </row>
    <row r="87" spans="1:8" x14ac:dyDescent="0.25">
      <c r="A87" t="s">
        <v>255</v>
      </c>
      <c r="B87" t="s">
        <v>59</v>
      </c>
      <c r="C87" t="s">
        <v>90</v>
      </c>
      <c r="D87" s="22" t="str">
        <f>[2]胸外科!$O$4</f>
        <v>胸腔镜下肺楔形切除术</v>
      </c>
      <c r="E87" s="22" t="str">
        <f>[2]胸外科!$I$4</f>
        <v>肺叶切除术，经单孔胸腔镜</v>
      </c>
      <c r="F87" s="22" t="str">
        <f>[2]胸外科!$C$4</f>
        <v>肺叶切除术，经胸腔镜</v>
      </c>
      <c r="G87" t="s">
        <v>59</v>
      </c>
      <c r="H87" t="s">
        <v>59</v>
      </c>
    </row>
    <row r="88" spans="1:8" x14ac:dyDescent="0.25">
      <c r="A88" t="s">
        <v>256</v>
      </c>
      <c r="B88" t="s">
        <v>59</v>
      </c>
      <c r="C88" t="s">
        <v>90</v>
      </c>
      <c r="D88" s="23">
        <f>[2]胸外科!$N$4</f>
        <v>32.200000000000003</v>
      </c>
      <c r="E88" s="23">
        <f>[2]胸外科!$H$4</f>
        <v>32.409999999999997</v>
      </c>
      <c r="F88" s="23">
        <f>[2]胸外科!$B$4</f>
        <v>32.409999999999997</v>
      </c>
      <c r="G88" t="s">
        <v>59</v>
      </c>
      <c r="H88" t="s">
        <v>59</v>
      </c>
    </row>
    <row r="89" spans="1:8" x14ac:dyDescent="0.25">
      <c r="A89" t="s">
        <v>257</v>
      </c>
      <c r="B89" t="s">
        <v>14</v>
      </c>
      <c r="C89" t="s">
        <v>90</v>
      </c>
      <c r="D89" s="24">
        <f>[2]胸外科!$Q$4</f>
        <v>31.117533718689799</v>
      </c>
      <c r="E89" s="24">
        <f>[2]胸外科!$K$4</f>
        <v>27.0025839793282</v>
      </c>
      <c r="F89" s="24">
        <f>[2]胸外科!$E$4</f>
        <v>32.605729877216902</v>
      </c>
      <c r="G89" t="s">
        <v>59</v>
      </c>
      <c r="H89" t="s">
        <v>59</v>
      </c>
    </row>
    <row r="90" spans="1:8" x14ac:dyDescent="0.25">
      <c r="A90" t="s">
        <v>258</v>
      </c>
      <c r="B90" t="s">
        <v>59</v>
      </c>
      <c r="C90" t="s">
        <v>90</v>
      </c>
      <c r="D90" s="25" t="str">
        <f>[2]胸外科!$O$5</f>
        <v>胸腔镜下肺叶切除术</v>
      </c>
      <c r="E90" s="25" t="str">
        <f>[2]胸外科!$I$5</f>
        <v>肺大泡切除术，经胸腔镜</v>
      </c>
      <c r="F90" s="25" t="str">
        <f>[2]胸外科!$C$5</f>
        <v>肺部分切除术（含肺楔形切除术），经胸腔镜</v>
      </c>
      <c r="G90" t="s">
        <v>59</v>
      </c>
      <c r="H90" t="s">
        <v>59</v>
      </c>
    </row>
    <row r="91" spans="1:8" x14ac:dyDescent="0.25">
      <c r="A91" t="s">
        <v>259</v>
      </c>
      <c r="B91" t="s">
        <v>59</v>
      </c>
      <c r="C91" t="s">
        <v>90</v>
      </c>
      <c r="D91" s="26">
        <f>[2]胸外科!$N$5</f>
        <v>32.409999999999997</v>
      </c>
      <c r="E91" s="26" t="str">
        <f>[2]胸外科!$H$5</f>
        <v>32.20</v>
      </c>
      <c r="F91" s="26" t="str">
        <f>[2]胸外科!$B$5</f>
        <v>32.2</v>
      </c>
      <c r="G91" t="s">
        <v>59</v>
      </c>
      <c r="H91" t="s">
        <v>59</v>
      </c>
    </row>
    <row r="92" spans="1:8" x14ac:dyDescent="0.25">
      <c r="A92" t="s">
        <v>260</v>
      </c>
      <c r="B92" t="s">
        <v>14</v>
      </c>
      <c r="C92" t="s">
        <v>90</v>
      </c>
      <c r="D92" s="24">
        <f>[2]胸外科!$Q$5</f>
        <v>28.323699421965301</v>
      </c>
      <c r="E92" s="24">
        <f>[2]胸外科!$K$5</f>
        <v>16.020671834625301</v>
      </c>
      <c r="F92" s="24">
        <f>[2]胸外科!$E$5</f>
        <v>27.012278308321999</v>
      </c>
      <c r="G92" t="s">
        <v>59</v>
      </c>
      <c r="H92" t="s">
        <v>59</v>
      </c>
    </row>
    <row r="93" spans="1:8" x14ac:dyDescent="0.25">
      <c r="A93" t="s">
        <v>261</v>
      </c>
      <c r="B93" t="s">
        <v>59</v>
      </c>
      <c r="C93" t="s">
        <v>90</v>
      </c>
      <c r="D93" s="27" t="str">
        <f>[2]胸外科!$O$6</f>
        <v>胸腔镜肺叶节段切除术</v>
      </c>
      <c r="E93" s="27" t="str">
        <f>[2]胸外科!$I$6</f>
        <v>纵隔病损切除术，经胸腔镜</v>
      </c>
      <c r="F93" s="27" t="str">
        <f>[2]胸外科!$C$6</f>
        <v>纵隔病损切除术，经胸腔镜</v>
      </c>
      <c r="G93" t="s">
        <v>59</v>
      </c>
      <c r="H93" t="s">
        <v>59</v>
      </c>
    </row>
    <row r="94" spans="1:8" x14ac:dyDescent="0.25">
      <c r="A94" t="s">
        <v>262</v>
      </c>
      <c r="B94" t="s">
        <v>59</v>
      </c>
      <c r="C94" t="s">
        <v>90</v>
      </c>
      <c r="D94" s="28">
        <f>[2]胸外科!$N$6</f>
        <v>32.299999999999997</v>
      </c>
      <c r="E94" s="28" t="str">
        <f>[2]胸外科!$H$6</f>
        <v>34.30</v>
      </c>
      <c r="F94" s="28" t="str">
        <f>[2]胸外科!$B$6</f>
        <v>34.3</v>
      </c>
      <c r="G94" t="s">
        <v>59</v>
      </c>
      <c r="H94" t="s">
        <v>59</v>
      </c>
    </row>
    <row r="95" spans="1:8" x14ac:dyDescent="0.25">
      <c r="A95" t="s">
        <v>263</v>
      </c>
      <c r="B95" t="s">
        <v>14</v>
      </c>
      <c r="C95" t="s">
        <v>90</v>
      </c>
      <c r="D95" s="24">
        <f>[2]胸外科!$Q$6</f>
        <v>6.4547206165703299</v>
      </c>
      <c r="E95" s="24">
        <f>[2]胸外科!$K$6</f>
        <v>6.07235142118863</v>
      </c>
      <c r="F95" s="24">
        <f>[2]胸外科!$E$6</f>
        <v>4.6384720327421496</v>
      </c>
      <c r="G95" t="s">
        <v>59</v>
      </c>
      <c r="H95" t="s">
        <v>59</v>
      </c>
    </row>
    <row r="96" spans="1:8" x14ac:dyDescent="0.25">
      <c r="A96" t="s">
        <v>264</v>
      </c>
      <c r="B96" t="s">
        <v>59</v>
      </c>
      <c r="C96" t="s">
        <v>90</v>
      </c>
      <c r="D96" s="24" t="str">
        <f>[2]胸外科!$O$7</f>
        <v>胸腔镜下纵隔病损切除术</v>
      </c>
      <c r="E96" s="24" t="str">
        <f>[2]胸外科!$I$7</f>
        <v>食管全切除术，经颈+胸腔镜+腹腔镜</v>
      </c>
      <c r="F96" s="24" t="str">
        <f>[2]胸外科!$C$7</f>
        <v>食管全切除术，经颈+胸腔镜+腹腔镜</v>
      </c>
      <c r="G96" t="s">
        <v>59</v>
      </c>
      <c r="H96" t="s">
        <v>59</v>
      </c>
    </row>
    <row r="97" spans="1:8" x14ac:dyDescent="0.25">
      <c r="A97" t="s">
        <v>265</v>
      </c>
      <c r="B97" t="s">
        <v>59</v>
      </c>
      <c r="C97" t="s">
        <v>90</v>
      </c>
      <c r="D97" s="25" t="str">
        <f>[2]胸外科!$N$7</f>
        <v>34.3x</v>
      </c>
      <c r="E97" s="25">
        <f>[2]胸外科!$H$7</f>
        <v>42.42</v>
      </c>
      <c r="F97" s="25">
        <f>[2]胸外科!$B$7</f>
        <v>42.42</v>
      </c>
      <c r="G97" t="s">
        <v>59</v>
      </c>
      <c r="H97" t="s">
        <v>59</v>
      </c>
    </row>
    <row r="98" spans="1:8" x14ac:dyDescent="0.25">
      <c r="A98" t="s">
        <v>266</v>
      </c>
      <c r="B98" t="s">
        <v>14</v>
      </c>
      <c r="C98" t="s">
        <v>90</v>
      </c>
      <c r="D98" s="26">
        <f>[2]胸外科!$Q$7</f>
        <v>5.6840077071290898</v>
      </c>
      <c r="E98" s="26">
        <f>[2]胸外科!$K$7</f>
        <v>4.7803617571059398</v>
      </c>
      <c r="F98" s="26">
        <f>[2]胸外科!$E$7</f>
        <v>5.0477489768076396</v>
      </c>
      <c r="G98" t="s">
        <v>59</v>
      </c>
      <c r="H98" t="s">
        <v>59</v>
      </c>
    </row>
    <row r="99" spans="1:8" x14ac:dyDescent="0.25">
      <c r="A99" t="s">
        <v>267</v>
      </c>
      <c r="B99" t="s">
        <v>59</v>
      </c>
      <c r="C99" t="s">
        <v>90</v>
      </c>
      <c r="D99" s="24" t="str">
        <f>[2]胸外科!$O$8</f>
        <v>颈胸腹三切口食管部分切除术</v>
      </c>
      <c r="E99" s="24" t="str">
        <f>[2]胸外科!$I$8</f>
        <v>胸交感神经切断术，经胸腔镜</v>
      </c>
      <c r="F99" s="24" t="str">
        <f>[2]胸外科!$C$8</f>
        <v>胸膜剥脱术，经胸腔镜</v>
      </c>
      <c r="G99" t="s">
        <v>59</v>
      </c>
      <c r="H99" t="s">
        <v>59</v>
      </c>
    </row>
    <row r="100" spans="1:8" x14ac:dyDescent="0.25">
      <c r="A100" t="s">
        <v>268</v>
      </c>
      <c r="B100" t="s">
        <v>59</v>
      </c>
      <c r="C100" t="s">
        <v>90</v>
      </c>
      <c r="D100" s="10">
        <f>[2]胸外科!$N$8</f>
        <v>42.41</v>
      </c>
      <c r="E100" s="10" t="str">
        <f>[2]胸外科!$H$8</f>
        <v>05.0</v>
      </c>
      <c r="F100" s="10">
        <f>[2]胸外科!$B$8</f>
        <v>34.51</v>
      </c>
      <c r="G100" t="s">
        <v>59</v>
      </c>
      <c r="H100" t="s">
        <v>59</v>
      </c>
    </row>
    <row r="101" spans="1:8" x14ac:dyDescent="0.25">
      <c r="A101" t="s">
        <v>269</v>
      </c>
      <c r="B101" t="s">
        <v>14</v>
      </c>
      <c r="C101" t="s">
        <v>90</v>
      </c>
      <c r="D101" s="10">
        <f>[2]胸外科!$Q$8</f>
        <v>3.1791907514450899</v>
      </c>
      <c r="E101" s="10">
        <f>[2]胸外科!$K$8</f>
        <v>2.9715762273901798</v>
      </c>
      <c r="F101" s="10">
        <f>[2]胸外科!$E$8</f>
        <v>2.8649386084583899</v>
      </c>
      <c r="G101" t="s">
        <v>59</v>
      </c>
      <c r="H101" t="s">
        <v>59</v>
      </c>
    </row>
  </sheetData>
  <phoneticPr fontId="10" type="noConversion"/>
  <conditionalFormatting sqref="D88">
    <cfRule type="duplicateValues" dxfId="167" priority="12"/>
  </conditionalFormatting>
  <conditionalFormatting sqref="E88">
    <cfRule type="duplicateValues" dxfId="166" priority="4"/>
  </conditionalFormatting>
  <conditionalFormatting sqref="F88">
    <cfRule type="duplicateValues" dxfId="165" priority="8"/>
  </conditionalFormatting>
  <conditionalFormatting sqref="D91">
    <cfRule type="duplicateValues" dxfId="164" priority="11"/>
  </conditionalFormatting>
  <conditionalFormatting sqref="E91">
    <cfRule type="duplicateValues" dxfId="163" priority="3"/>
  </conditionalFormatting>
  <conditionalFormatting sqref="F91">
    <cfRule type="duplicateValues" dxfId="162" priority="7"/>
  </conditionalFormatting>
  <conditionalFormatting sqref="D94">
    <cfRule type="duplicateValues" dxfId="161" priority="9"/>
  </conditionalFormatting>
  <conditionalFormatting sqref="E94">
    <cfRule type="duplicateValues" dxfId="160" priority="1"/>
  </conditionalFormatting>
  <conditionalFormatting sqref="F94">
    <cfRule type="duplicateValues" dxfId="159" priority="5"/>
  </conditionalFormatting>
  <conditionalFormatting sqref="D98">
    <cfRule type="duplicateValues" dxfId="158" priority="10"/>
  </conditionalFormatting>
  <conditionalFormatting sqref="E98">
    <cfRule type="duplicateValues" dxfId="157" priority="2"/>
  </conditionalFormatting>
  <conditionalFormatting sqref="F98">
    <cfRule type="duplicateValues" dxfId="156" priority="6"/>
  </conditionalFormatting>
  <pageMargins left="0.69930555555555596" right="0.69930555555555596" top="0.75" bottom="0.75" header="0.3" footer="0.3"/>
  <ignoredErrors>
    <ignoredError sqref="A2:B31 G2:H31 G34:H101 A34:B101 A1:H1" numberStoredAsText="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101"/>
  <sheetViews>
    <sheetView topLeftCell="A25"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29.261272785417301</v>
      </c>
      <c r="E2" s="5">
        <v>31.041322314049602</v>
      </c>
      <c r="F2" s="5">
        <v>32.2739187418086</v>
      </c>
      <c r="G2" t="s">
        <v>16</v>
      </c>
      <c r="H2" t="s">
        <v>17</v>
      </c>
    </row>
    <row r="3" spans="1:8" x14ac:dyDescent="0.25">
      <c r="A3" t="s">
        <v>18</v>
      </c>
      <c r="B3" t="s">
        <v>14</v>
      </c>
      <c r="C3" t="s">
        <v>15</v>
      </c>
      <c r="D3" s="5">
        <v>11.1475409836066</v>
      </c>
      <c r="E3" s="5">
        <v>3.9403620873269398</v>
      </c>
      <c r="F3" s="5">
        <v>2.84263959390863</v>
      </c>
      <c r="G3" t="s">
        <v>19</v>
      </c>
      <c r="H3" t="s">
        <v>20</v>
      </c>
    </row>
    <row r="4" spans="1:8" x14ac:dyDescent="0.25">
      <c r="A4" t="s">
        <v>21</v>
      </c>
      <c r="B4" t="s">
        <v>14</v>
      </c>
      <c r="C4" t="s">
        <v>15</v>
      </c>
      <c r="D4" s="5">
        <v>41.639344262295097</v>
      </c>
      <c r="E4" s="5">
        <v>41.746538871139499</v>
      </c>
      <c r="F4" s="5">
        <v>41.2182741116751</v>
      </c>
      <c r="G4" t="s">
        <v>22</v>
      </c>
      <c r="H4" t="s">
        <v>23</v>
      </c>
    </row>
    <row r="5" spans="1:8" x14ac:dyDescent="0.25">
      <c r="A5" t="s">
        <v>24</v>
      </c>
      <c r="B5" t="s">
        <v>14</v>
      </c>
      <c r="C5" t="s">
        <v>15</v>
      </c>
      <c r="D5" s="5">
        <v>92.375</v>
      </c>
      <c r="E5" s="5">
        <v>92.534999999999997</v>
      </c>
      <c r="F5" s="5">
        <v>92.167500000000004</v>
      </c>
      <c r="G5" t="s">
        <v>25</v>
      </c>
      <c r="H5" t="s">
        <v>26</v>
      </c>
    </row>
    <row r="6" spans="1:8" x14ac:dyDescent="0.25">
      <c r="A6" t="s">
        <v>33</v>
      </c>
      <c r="B6" t="s">
        <v>14</v>
      </c>
      <c r="C6" t="s">
        <v>34</v>
      </c>
      <c r="D6" s="5">
        <v>0</v>
      </c>
      <c r="E6" s="5">
        <v>0</v>
      </c>
      <c r="F6" s="5">
        <v>0</v>
      </c>
      <c r="G6" t="s">
        <v>35</v>
      </c>
      <c r="H6" t="s">
        <v>36</v>
      </c>
    </row>
    <row r="7" spans="1:8" x14ac:dyDescent="0.25">
      <c r="A7" t="s">
        <v>37</v>
      </c>
      <c r="B7" t="s">
        <v>14</v>
      </c>
      <c r="C7" t="s">
        <v>34</v>
      </c>
      <c r="D7" s="5">
        <v>0.06</v>
      </c>
      <c r="E7" s="5">
        <v>0.05</v>
      </c>
      <c r="F7" s="5">
        <v>0</v>
      </c>
      <c r="G7" t="s">
        <v>39</v>
      </c>
      <c r="H7" t="s">
        <v>40</v>
      </c>
    </row>
    <row r="8" spans="1:8" x14ac:dyDescent="0.25">
      <c r="A8" t="s">
        <v>41</v>
      </c>
      <c r="B8" t="s">
        <v>14</v>
      </c>
      <c r="C8" t="s">
        <v>10</v>
      </c>
      <c r="D8" s="5"/>
      <c r="E8" s="5"/>
      <c r="F8" s="5"/>
      <c r="G8" t="s">
        <v>39</v>
      </c>
      <c r="H8" t="s">
        <v>44</v>
      </c>
    </row>
    <row r="9" spans="1:8" x14ac:dyDescent="0.25">
      <c r="A9" t="s">
        <v>51</v>
      </c>
      <c r="B9" t="s">
        <v>14</v>
      </c>
      <c r="C9" t="s">
        <v>34</v>
      </c>
      <c r="D9" s="5">
        <v>0</v>
      </c>
      <c r="E9" s="5">
        <v>0</v>
      </c>
      <c r="F9" s="5">
        <v>0</v>
      </c>
      <c r="G9" t="s">
        <v>19</v>
      </c>
      <c r="H9" t="s">
        <v>52</v>
      </c>
    </row>
    <row r="10" spans="1:8" x14ac:dyDescent="0.25">
      <c r="A10" t="s">
        <v>57</v>
      </c>
      <c r="B10" t="s">
        <v>14</v>
      </c>
      <c r="C10" t="s">
        <v>38</v>
      </c>
      <c r="D10" s="5">
        <v>3.76</v>
      </c>
      <c r="E10" s="5">
        <v>4.3899999999999997</v>
      </c>
      <c r="F10" s="5">
        <v>5.24</v>
      </c>
      <c r="G10" t="s">
        <v>58</v>
      </c>
      <c r="H10" t="s">
        <v>59</v>
      </c>
    </row>
    <row r="11" spans="1:8" x14ac:dyDescent="0.25">
      <c r="A11" t="s">
        <v>63</v>
      </c>
      <c r="B11" t="s">
        <v>64</v>
      </c>
      <c r="C11" t="s">
        <v>61</v>
      </c>
      <c r="D11" s="41">
        <v>50.06</v>
      </c>
      <c r="E11" s="41">
        <v>54.42</v>
      </c>
      <c r="F11" s="41">
        <v>196.02</v>
      </c>
      <c r="G11" t="s">
        <v>35</v>
      </c>
      <c r="H11" t="s">
        <v>65</v>
      </c>
    </row>
    <row r="12" spans="1:8" x14ac:dyDescent="0.25">
      <c r="A12" t="s">
        <v>66</v>
      </c>
      <c r="B12" t="s">
        <v>14</v>
      </c>
      <c r="C12" t="s">
        <v>61</v>
      </c>
      <c r="D12" s="5">
        <v>82.38</v>
      </c>
      <c r="E12" s="5">
        <v>67.66</v>
      </c>
      <c r="F12" s="5">
        <v>61.56</v>
      </c>
      <c r="G12" t="s">
        <v>39</v>
      </c>
      <c r="H12" t="s">
        <v>67</v>
      </c>
    </row>
    <row r="13" spans="1:8" x14ac:dyDescent="0.25">
      <c r="A13" t="s">
        <v>68</v>
      </c>
      <c r="B13" t="s">
        <v>14</v>
      </c>
      <c r="C13" t="s">
        <v>61</v>
      </c>
      <c r="D13" s="40">
        <v>97.92</v>
      </c>
      <c r="E13" s="40">
        <v>98.08</v>
      </c>
      <c r="F13" s="40">
        <v>94.31</v>
      </c>
      <c r="G13" t="s">
        <v>39</v>
      </c>
      <c r="H13" t="s">
        <v>69</v>
      </c>
    </row>
    <row r="14" spans="1:8" x14ac:dyDescent="0.25">
      <c r="A14" t="s">
        <v>74</v>
      </c>
      <c r="B14" t="s">
        <v>14</v>
      </c>
      <c r="C14" t="s">
        <v>75</v>
      </c>
      <c r="D14" s="18">
        <f>(2502461+416598)/41054915*100</f>
        <v>7.1101328549821625</v>
      </c>
      <c r="E14" s="18">
        <f>3662543/39973299*100</f>
        <v>9.162473680243405</v>
      </c>
      <c r="F14" s="18">
        <f>1716817.5/59549948*100</f>
        <v>2.8829874041199832</v>
      </c>
      <c r="G14" t="s">
        <v>35</v>
      </c>
      <c r="H14" t="s">
        <v>76</v>
      </c>
    </row>
    <row r="15" spans="1:8" x14ac:dyDescent="0.25">
      <c r="A15" t="s">
        <v>91</v>
      </c>
      <c r="B15" t="s">
        <v>92</v>
      </c>
      <c r="C15" t="s">
        <v>15</v>
      </c>
      <c r="D15" s="5">
        <v>15.64</v>
      </c>
      <c r="E15" s="5">
        <v>16.535</v>
      </c>
      <c r="F15" s="5">
        <v>13.512499999999999</v>
      </c>
      <c r="G15" t="s">
        <v>93</v>
      </c>
      <c r="H15" t="s">
        <v>94</v>
      </c>
    </row>
    <row r="16" spans="1:8" x14ac:dyDescent="0.25">
      <c r="A16" t="s">
        <v>95</v>
      </c>
      <c r="B16" t="s">
        <v>59</v>
      </c>
      <c r="C16" t="s">
        <v>34</v>
      </c>
      <c r="D16" s="5">
        <v>2.8650000000000002</v>
      </c>
      <c r="E16" s="5">
        <v>3</v>
      </c>
      <c r="F16" s="5">
        <v>2.7050000000000001</v>
      </c>
      <c r="G16" t="s">
        <v>96</v>
      </c>
      <c r="H16" t="s">
        <v>59</v>
      </c>
    </row>
    <row r="17" spans="1:8" x14ac:dyDescent="0.25">
      <c r="A17" t="s">
        <v>97</v>
      </c>
      <c r="B17" t="s">
        <v>98</v>
      </c>
      <c r="C17" t="s">
        <v>34</v>
      </c>
      <c r="D17" s="5">
        <v>124</v>
      </c>
      <c r="E17" s="5">
        <v>131</v>
      </c>
      <c r="F17" s="5">
        <v>90</v>
      </c>
      <c r="G17" t="s">
        <v>99</v>
      </c>
      <c r="H17" t="s">
        <v>59</v>
      </c>
    </row>
    <row r="18" spans="1:8" x14ac:dyDescent="0.25">
      <c r="A18" t="s">
        <v>104</v>
      </c>
      <c r="B18" t="s">
        <v>105</v>
      </c>
      <c r="C18" t="s">
        <v>15</v>
      </c>
      <c r="D18" s="37">
        <v>130</v>
      </c>
      <c r="E18" s="37">
        <v>130</v>
      </c>
      <c r="F18" s="37">
        <v>130</v>
      </c>
      <c r="G18" t="s">
        <v>58</v>
      </c>
      <c r="H18" t="s">
        <v>59</v>
      </c>
    </row>
    <row r="19" spans="1:8" x14ac:dyDescent="0.25">
      <c r="A19" t="s">
        <v>106</v>
      </c>
      <c r="B19" t="s">
        <v>105</v>
      </c>
      <c r="C19" t="s">
        <v>15</v>
      </c>
      <c r="D19" s="37">
        <v>140</v>
      </c>
      <c r="E19" s="37">
        <v>130</v>
      </c>
      <c r="F19" s="37">
        <v>120</v>
      </c>
      <c r="G19" t="s">
        <v>58</v>
      </c>
      <c r="H19" t="s">
        <v>59</v>
      </c>
    </row>
    <row r="20" spans="1:8" x14ac:dyDescent="0.25">
      <c r="A20" t="s">
        <v>107</v>
      </c>
      <c r="B20" t="s">
        <v>14</v>
      </c>
      <c r="C20" t="s">
        <v>15</v>
      </c>
      <c r="D20" s="5">
        <v>104.045</v>
      </c>
      <c r="E20" s="5">
        <v>118.75</v>
      </c>
      <c r="F20" s="5">
        <v>102.60250000000001</v>
      </c>
      <c r="G20" t="s">
        <v>58</v>
      </c>
      <c r="H20" t="s">
        <v>108</v>
      </c>
    </row>
    <row r="21" spans="1:8" x14ac:dyDescent="0.25">
      <c r="A21" t="s">
        <v>112</v>
      </c>
      <c r="B21" t="s">
        <v>59</v>
      </c>
      <c r="C21" t="s">
        <v>102</v>
      </c>
      <c r="D21" s="5">
        <f t="shared" ref="D21:F21" si="0">D43/D19</f>
        <v>0.15714285714285714</v>
      </c>
      <c r="E21" s="5">
        <f t="shared" si="0"/>
        <v>0.14615384615384616</v>
      </c>
      <c r="F21" s="5">
        <f t="shared" si="0"/>
        <v>0.15</v>
      </c>
      <c r="G21" t="s">
        <v>110</v>
      </c>
      <c r="H21" t="s">
        <v>113</v>
      </c>
    </row>
    <row r="22" spans="1:8" x14ac:dyDescent="0.25">
      <c r="A22" t="s">
        <v>114</v>
      </c>
      <c r="B22" t="s">
        <v>59</v>
      </c>
      <c r="C22" t="s">
        <v>102</v>
      </c>
      <c r="D22" s="5">
        <f t="shared" ref="D22:F22" si="1">D44/D19</f>
        <v>0.59285714285714286</v>
      </c>
      <c r="E22" s="5">
        <f t="shared" si="1"/>
        <v>0.63846153846153841</v>
      </c>
      <c r="F22" s="5">
        <f t="shared" si="1"/>
        <v>0.67500000000000004</v>
      </c>
      <c r="G22" t="s">
        <v>110</v>
      </c>
      <c r="H22" t="s">
        <v>115</v>
      </c>
    </row>
    <row r="23" spans="1:8" x14ac:dyDescent="0.25">
      <c r="A23" t="s">
        <v>116</v>
      </c>
      <c r="B23" t="s">
        <v>117</v>
      </c>
      <c r="C23" t="s">
        <v>118</v>
      </c>
      <c r="D23" s="5">
        <v>27.339768271929799</v>
      </c>
      <c r="E23" s="5">
        <v>28.8294512454545</v>
      </c>
      <c r="F23" s="5">
        <v>21.1366761071429</v>
      </c>
      <c r="G23" t="s">
        <v>119</v>
      </c>
      <c r="H23" t="s">
        <v>59</v>
      </c>
    </row>
    <row r="24" spans="1:8" x14ac:dyDescent="0.25">
      <c r="A24" t="s">
        <v>120</v>
      </c>
      <c r="B24" t="s">
        <v>117</v>
      </c>
      <c r="C24" t="s">
        <v>118</v>
      </c>
      <c r="D24" s="5">
        <v>38.372209377193002</v>
      </c>
      <c r="E24" s="5">
        <v>40.583122654545498</v>
      </c>
      <c r="F24" s="5">
        <v>30.4437288660714</v>
      </c>
      <c r="G24" t="s">
        <v>121</v>
      </c>
      <c r="H24" t="s">
        <v>59</v>
      </c>
    </row>
    <row r="25" spans="1:8" x14ac:dyDescent="0.25">
      <c r="A25" t="s">
        <v>122</v>
      </c>
      <c r="B25" t="s">
        <v>117</v>
      </c>
      <c r="C25" t="s">
        <v>118</v>
      </c>
      <c r="D25" s="5">
        <v>22.7981390022676</v>
      </c>
      <c r="E25" s="5">
        <v>25.537442720244801</v>
      </c>
      <c r="F25" s="5">
        <v>29.632090674677698</v>
      </c>
      <c r="G25" t="s">
        <v>123</v>
      </c>
      <c r="H25" t="s">
        <v>59</v>
      </c>
    </row>
    <row r="26" spans="1:8" x14ac:dyDescent="0.25">
      <c r="A26" t="s">
        <v>124</v>
      </c>
      <c r="B26" t="s">
        <v>117</v>
      </c>
      <c r="C26" t="s">
        <v>118</v>
      </c>
      <c r="D26" s="5">
        <v>31.997892392655999</v>
      </c>
      <c r="E26" s="5">
        <v>35.948973200193301</v>
      </c>
      <c r="F26" s="5">
        <v>42.6799052822631</v>
      </c>
      <c r="G26" t="s">
        <v>125</v>
      </c>
      <c r="H26" t="s">
        <v>59</v>
      </c>
    </row>
    <row r="27" spans="1:8" x14ac:dyDescent="0.25">
      <c r="A27" t="s">
        <v>126</v>
      </c>
      <c r="B27" t="s">
        <v>127</v>
      </c>
      <c r="C27" t="s">
        <v>118</v>
      </c>
      <c r="D27" s="5">
        <v>5.9803237858032396</v>
      </c>
      <c r="E27" s="5">
        <v>7.0126892573900497</v>
      </c>
      <c r="F27" s="5">
        <v>7.6447488584474899</v>
      </c>
      <c r="G27" t="s">
        <v>39</v>
      </c>
      <c r="H27" t="s">
        <v>128</v>
      </c>
    </row>
    <row r="28" spans="1:8" x14ac:dyDescent="0.25">
      <c r="A28" t="s">
        <v>129</v>
      </c>
      <c r="B28" t="s">
        <v>14</v>
      </c>
      <c r="C28" t="s">
        <v>118</v>
      </c>
      <c r="D28" s="5">
        <v>41.554584587653899</v>
      </c>
      <c r="E28" s="5">
        <v>42.5663438686787</v>
      </c>
      <c r="F28" s="5">
        <v>40.497631527620896</v>
      </c>
      <c r="G28" t="s">
        <v>130</v>
      </c>
      <c r="H28" t="s">
        <v>131</v>
      </c>
    </row>
    <row r="29" spans="1:8" x14ac:dyDescent="0.25">
      <c r="A29" t="s">
        <v>132</v>
      </c>
      <c r="B29" t="s">
        <v>117</v>
      </c>
      <c r="C29" t="s">
        <v>118</v>
      </c>
      <c r="D29" s="5">
        <v>7500.3362779999998</v>
      </c>
      <c r="E29" s="5">
        <v>7450.1104599999999</v>
      </c>
      <c r="F29" s="5">
        <v>5845.5461089999999</v>
      </c>
      <c r="G29" t="s">
        <v>59</v>
      </c>
      <c r="H29" t="s">
        <v>133</v>
      </c>
    </row>
    <row r="30" spans="1:8" x14ac:dyDescent="0.25">
      <c r="A30" t="s">
        <v>134</v>
      </c>
      <c r="B30" t="s">
        <v>117</v>
      </c>
      <c r="C30" t="s">
        <v>118</v>
      </c>
      <c r="D30" s="5">
        <v>3116.7335830000002</v>
      </c>
      <c r="E30" s="5">
        <v>3171.2396370000001</v>
      </c>
      <c r="F30" s="5">
        <v>2367.3077239999998</v>
      </c>
      <c r="G30" t="s">
        <v>59</v>
      </c>
      <c r="H30" t="s">
        <v>59</v>
      </c>
    </row>
    <row r="31" spans="1:8" x14ac:dyDescent="0.25">
      <c r="A31" t="s">
        <v>135</v>
      </c>
      <c r="B31" t="s">
        <v>117</v>
      </c>
      <c r="C31" t="s">
        <v>118</v>
      </c>
      <c r="D31" s="5">
        <v>4374.431869</v>
      </c>
      <c r="E31" s="5">
        <v>4464.1434920000002</v>
      </c>
      <c r="F31" s="5">
        <v>3409.6976330000002</v>
      </c>
      <c r="G31" t="s">
        <v>59</v>
      </c>
      <c r="H31" t="s">
        <v>136</v>
      </c>
    </row>
    <row r="32" spans="1:8" x14ac:dyDescent="0.25">
      <c r="A32" t="s">
        <v>216</v>
      </c>
      <c r="B32" t="s">
        <v>117</v>
      </c>
      <c r="D32" s="17">
        <v>5923.74</v>
      </c>
      <c r="E32" s="17">
        <v>5242.98</v>
      </c>
      <c r="F32" s="17">
        <v>5355.62</v>
      </c>
    </row>
    <row r="33" spans="1:8" x14ac:dyDescent="0.25">
      <c r="A33" t="s">
        <v>143</v>
      </c>
      <c r="B33" t="s">
        <v>14</v>
      </c>
      <c r="D33" s="15">
        <v>-27.08</v>
      </c>
      <c r="E33" s="15">
        <v>-5.5</v>
      </c>
      <c r="F33" s="15">
        <v>-14.65</v>
      </c>
    </row>
    <row r="34" spans="1:8" x14ac:dyDescent="0.25">
      <c r="A34" t="s">
        <v>137</v>
      </c>
      <c r="B34" t="s">
        <v>138</v>
      </c>
      <c r="C34" t="s">
        <v>139</v>
      </c>
      <c r="D34" s="5"/>
      <c r="E34" s="5"/>
      <c r="F34" s="5"/>
      <c r="G34" t="s">
        <v>35</v>
      </c>
      <c r="H34" t="s">
        <v>140</v>
      </c>
    </row>
    <row r="35" spans="1:8" x14ac:dyDescent="0.25">
      <c r="A35" t="s">
        <v>217</v>
      </c>
      <c r="B35" t="s">
        <v>14</v>
      </c>
      <c r="C35" t="s">
        <v>118</v>
      </c>
      <c r="D35" s="5">
        <v>3.6803862622758001</v>
      </c>
      <c r="E35" s="5">
        <v>3.04955549612079</v>
      </c>
      <c r="F35" s="5">
        <v>3.92416131397587</v>
      </c>
      <c r="G35" t="s">
        <v>22</v>
      </c>
      <c r="H35" t="s">
        <v>218</v>
      </c>
    </row>
    <row r="36" spans="1:8" x14ac:dyDescent="0.25">
      <c r="A36" t="s">
        <v>219</v>
      </c>
      <c r="B36" t="s">
        <v>14</v>
      </c>
      <c r="C36" t="s">
        <v>118</v>
      </c>
      <c r="D36" s="5">
        <v>96.319613737724197</v>
      </c>
      <c r="E36" s="5">
        <v>96.950444503879197</v>
      </c>
      <c r="F36" s="5">
        <v>96.075838686024099</v>
      </c>
      <c r="G36" t="s">
        <v>22</v>
      </c>
      <c r="H36" t="s">
        <v>220</v>
      </c>
    </row>
    <row r="37" spans="1:8" x14ac:dyDescent="0.25">
      <c r="A37" t="s">
        <v>144</v>
      </c>
      <c r="B37" t="s">
        <v>14</v>
      </c>
      <c r="C37" t="s">
        <v>118</v>
      </c>
      <c r="D37" s="5">
        <v>0.67416205799451701</v>
      </c>
      <c r="E37" s="5">
        <v>27.4493489757878</v>
      </c>
      <c r="F37" s="5">
        <v>-6.4083308732618303</v>
      </c>
      <c r="G37" t="s">
        <v>35</v>
      </c>
      <c r="H37" t="s">
        <v>145</v>
      </c>
    </row>
    <row r="38" spans="1:8" x14ac:dyDescent="0.25">
      <c r="A38" t="s">
        <v>146</v>
      </c>
      <c r="B38" t="s">
        <v>14</v>
      </c>
      <c r="C38" t="s">
        <v>118</v>
      </c>
      <c r="D38" s="5">
        <v>-7.5371277929074196</v>
      </c>
      <c r="E38" s="5">
        <v>-0.20096038118842099</v>
      </c>
      <c r="F38" s="5">
        <v>5.2005414924311104</v>
      </c>
      <c r="G38" t="s">
        <v>35</v>
      </c>
      <c r="H38" t="s">
        <v>147</v>
      </c>
    </row>
    <row r="39" spans="1:8" x14ac:dyDescent="0.25">
      <c r="A39" t="s">
        <v>148</v>
      </c>
      <c r="B39" t="s">
        <v>14</v>
      </c>
      <c r="C39" t="s">
        <v>118</v>
      </c>
      <c r="D39" s="5">
        <v>-4.6742755883501204</v>
      </c>
      <c r="E39" s="5">
        <v>-11.820326482251099</v>
      </c>
      <c r="F39" s="5">
        <v>26.670215017685301</v>
      </c>
      <c r="G39" t="s">
        <v>35</v>
      </c>
      <c r="H39" t="s">
        <v>149</v>
      </c>
    </row>
    <row r="40" spans="1:8" x14ac:dyDescent="0.25">
      <c r="A40" t="s">
        <v>150</v>
      </c>
      <c r="B40" t="s">
        <v>14</v>
      </c>
      <c r="C40" t="s">
        <v>118</v>
      </c>
      <c r="D40" s="5">
        <v>-10.2135639924337</v>
      </c>
      <c r="E40" s="5">
        <v>-3.0401896700159901</v>
      </c>
      <c r="F40" s="5">
        <v>-7.29094286104284</v>
      </c>
      <c r="G40" t="s">
        <v>35</v>
      </c>
      <c r="H40" t="s">
        <v>151</v>
      </c>
    </row>
    <row r="41" spans="1:8" x14ac:dyDescent="0.25">
      <c r="A41" t="s">
        <v>152</v>
      </c>
      <c r="B41" t="s">
        <v>14</v>
      </c>
      <c r="C41" t="s">
        <v>118</v>
      </c>
      <c r="D41" s="5">
        <v>3.70224711344716</v>
      </c>
      <c r="E41" s="5">
        <v>-19.237252814795202</v>
      </c>
      <c r="F41" s="5">
        <v>13.352442888202701</v>
      </c>
      <c r="G41" t="s">
        <v>35</v>
      </c>
      <c r="H41" t="s">
        <v>153</v>
      </c>
    </row>
    <row r="42" spans="1:8" x14ac:dyDescent="0.25">
      <c r="A42" t="s">
        <v>164</v>
      </c>
      <c r="B42" t="s">
        <v>59</v>
      </c>
      <c r="C42" t="s">
        <v>102</v>
      </c>
      <c r="D42" s="5">
        <v>0.27</v>
      </c>
      <c r="E42" s="5">
        <v>0.23</v>
      </c>
      <c r="F42" s="5">
        <v>0.22</v>
      </c>
      <c r="G42" t="s">
        <v>165</v>
      </c>
      <c r="H42" t="s">
        <v>166</v>
      </c>
    </row>
    <row r="43" spans="1:8" x14ac:dyDescent="0.25">
      <c r="A43" t="s">
        <v>167</v>
      </c>
      <c r="B43" t="s">
        <v>101</v>
      </c>
      <c r="C43" t="s">
        <v>102</v>
      </c>
      <c r="D43" s="37">
        <v>22</v>
      </c>
      <c r="E43" s="37">
        <v>19</v>
      </c>
      <c r="F43" s="37">
        <v>18</v>
      </c>
      <c r="G43" t="s">
        <v>168</v>
      </c>
      <c r="H43" t="s">
        <v>59</v>
      </c>
    </row>
    <row r="44" spans="1:8" x14ac:dyDescent="0.25">
      <c r="A44" t="s">
        <v>169</v>
      </c>
      <c r="B44" t="s">
        <v>101</v>
      </c>
      <c r="C44" t="s">
        <v>102</v>
      </c>
      <c r="D44" s="37">
        <v>83</v>
      </c>
      <c r="E44" s="37">
        <v>83</v>
      </c>
      <c r="F44" s="37">
        <v>81</v>
      </c>
      <c r="G44" t="s">
        <v>168</v>
      </c>
      <c r="H44" t="s">
        <v>59</v>
      </c>
    </row>
    <row r="45" spans="1:8" x14ac:dyDescent="0.25">
      <c r="A45" t="s">
        <v>221</v>
      </c>
      <c r="B45" t="s">
        <v>14</v>
      </c>
      <c r="C45" t="s">
        <v>102</v>
      </c>
      <c r="D45" s="5">
        <v>45.45</v>
      </c>
      <c r="E45" s="5">
        <v>47.37</v>
      </c>
      <c r="F45" s="5">
        <v>44.44</v>
      </c>
      <c r="G45" t="s">
        <v>59</v>
      </c>
      <c r="H45" t="s">
        <v>222</v>
      </c>
    </row>
    <row r="46" spans="1:8" x14ac:dyDescent="0.25">
      <c r="A46" t="s">
        <v>223</v>
      </c>
      <c r="B46" t="s">
        <v>14</v>
      </c>
      <c r="C46" t="s">
        <v>102</v>
      </c>
      <c r="D46" s="5">
        <v>9.09</v>
      </c>
      <c r="E46" s="5">
        <v>5.26</v>
      </c>
      <c r="F46" s="5">
        <v>5.56</v>
      </c>
      <c r="G46" t="s">
        <v>59</v>
      </c>
      <c r="H46" t="s">
        <v>224</v>
      </c>
    </row>
    <row r="47" spans="1:8" x14ac:dyDescent="0.25">
      <c r="A47" t="s">
        <v>225</v>
      </c>
      <c r="B47" t="s">
        <v>14</v>
      </c>
      <c r="C47" t="s">
        <v>102</v>
      </c>
      <c r="D47" s="5">
        <v>68.180000000000007</v>
      </c>
      <c r="E47" s="5">
        <v>68.42</v>
      </c>
      <c r="F47" s="5">
        <v>66.67</v>
      </c>
      <c r="G47" t="s">
        <v>59</v>
      </c>
      <c r="H47" t="s">
        <v>226</v>
      </c>
    </row>
    <row r="48" spans="1:8" x14ac:dyDescent="0.25">
      <c r="A48" t="s">
        <v>188</v>
      </c>
      <c r="B48" t="s">
        <v>59</v>
      </c>
      <c r="C48" t="s">
        <v>176</v>
      </c>
      <c r="D48" s="5">
        <v>0.01</v>
      </c>
      <c r="E48" s="5">
        <v>0.01</v>
      </c>
      <c r="F48" s="5">
        <v>0</v>
      </c>
      <c r="G48" t="s">
        <v>186</v>
      </c>
      <c r="H48" t="s">
        <v>189</v>
      </c>
    </row>
    <row r="49" spans="1:8" x14ac:dyDescent="0.25">
      <c r="A49" t="s">
        <v>190</v>
      </c>
      <c r="B49" t="s">
        <v>59</v>
      </c>
      <c r="C49" t="s">
        <v>176</v>
      </c>
      <c r="D49" s="5">
        <v>0</v>
      </c>
      <c r="E49" s="5">
        <v>0</v>
      </c>
      <c r="F49" s="5">
        <v>0</v>
      </c>
      <c r="G49" t="s">
        <v>191</v>
      </c>
      <c r="H49" t="s">
        <v>192</v>
      </c>
    </row>
    <row r="50" spans="1:8" x14ac:dyDescent="0.25">
      <c r="A50" t="s">
        <v>193</v>
      </c>
      <c r="B50" t="s">
        <v>59</v>
      </c>
      <c r="C50" t="s">
        <v>176</v>
      </c>
      <c r="D50" s="5">
        <v>0</v>
      </c>
      <c r="E50" s="5">
        <v>0</v>
      </c>
      <c r="F50" s="5">
        <v>0</v>
      </c>
      <c r="G50" t="s">
        <v>191</v>
      </c>
      <c r="H50" t="s">
        <v>194</v>
      </c>
    </row>
    <row r="51" spans="1:8" x14ac:dyDescent="0.25">
      <c r="A51" t="s">
        <v>195</v>
      </c>
      <c r="B51" t="s">
        <v>196</v>
      </c>
      <c r="C51" t="s">
        <v>176</v>
      </c>
      <c r="D51" s="5">
        <v>0</v>
      </c>
      <c r="E51" s="5">
        <v>0</v>
      </c>
      <c r="F51" s="5">
        <v>0</v>
      </c>
      <c r="G51" t="s">
        <v>39</v>
      </c>
      <c r="H51" t="s">
        <v>197</v>
      </c>
    </row>
    <row r="52" spans="1:8" x14ac:dyDescent="0.25">
      <c r="A52" t="s">
        <v>198</v>
      </c>
      <c r="B52" t="s">
        <v>196</v>
      </c>
      <c r="C52" t="s">
        <v>176</v>
      </c>
      <c r="D52" s="5">
        <v>0</v>
      </c>
      <c r="E52" s="5">
        <v>0</v>
      </c>
      <c r="F52" s="5">
        <v>0</v>
      </c>
      <c r="G52" t="s">
        <v>22</v>
      </c>
      <c r="H52" t="s">
        <v>199</v>
      </c>
    </row>
    <row r="53" spans="1:8" x14ac:dyDescent="0.25">
      <c r="A53" t="s">
        <v>200</v>
      </c>
      <c r="B53" t="s">
        <v>201</v>
      </c>
      <c r="C53" t="s">
        <v>176</v>
      </c>
      <c r="D53" s="5">
        <v>0</v>
      </c>
      <c r="E53" s="5">
        <v>0</v>
      </c>
      <c r="F53" s="5">
        <v>0</v>
      </c>
      <c r="G53" t="s">
        <v>202</v>
      </c>
      <c r="H53" t="s">
        <v>59</v>
      </c>
    </row>
    <row r="54" spans="1:8" x14ac:dyDescent="0.25">
      <c r="A54" t="s">
        <v>203</v>
      </c>
      <c r="B54" t="s">
        <v>204</v>
      </c>
      <c r="C54" t="s">
        <v>176</v>
      </c>
      <c r="D54" s="5">
        <v>0</v>
      </c>
      <c r="E54" s="5">
        <v>0</v>
      </c>
      <c r="F54" s="5">
        <v>0</v>
      </c>
      <c r="G54" t="s">
        <v>205</v>
      </c>
      <c r="H54" t="s">
        <v>59</v>
      </c>
    </row>
    <row r="55" spans="1:8" x14ac:dyDescent="0.25">
      <c r="A55" t="s">
        <v>206</v>
      </c>
      <c r="B55" t="s">
        <v>207</v>
      </c>
      <c r="C55" t="s">
        <v>176</v>
      </c>
      <c r="D55" s="5">
        <v>0</v>
      </c>
      <c r="E55" s="5">
        <v>0</v>
      </c>
      <c r="F55" s="5">
        <v>0</v>
      </c>
      <c r="G55" t="s">
        <v>205</v>
      </c>
      <c r="H55" t="s">
        <v>59</v>
      </c>
    </row>
    <row r="56" spans="1:8" x14ac:dyDescent="0.25">
      <c r="A56" t="s">
        <v>208</v>
      </c>
      <c r="B56" t="s">
        <v>14</v>
      </c>
      <c r="C56" t="s">
        <v>176</v>
      </c>
      <c r="D56" s="5">
        <v>0</v>
      </c>
      <c r="E56" s="5">
        <v>0</v>
      </c>
      <c r="F56" s="5">
        <v>0</v>
      </c>
      <c r="G56" t="s">
        <v>59</v>
      </c>
      <c r="H56" t="s">
        <v>209</v>
      </c>
    </row>
    <row r="57" spans="1:8" x14ac:dyDescent="0.25">
      <c r="A57" t="s">
        <v>210</v>
      </c>
      <c r="B57" t="s">
        <v>14</v>
      </c>
      <c r="C57" t="s">
        <v>176</v>
      </c>
      <c r="D57" s="5">
        <v>4.55</v>
      </c>
      <c r="E57" s="5">
        <v>5.26</v>
      </c>
      <c r="F57" s="5">
        <v>0</v>
      </c>
      <c r="G57" t="s">
        <v>59</v>
      </c>
      <c r="H57" t="s">
        <v>211</v>
      </c>
    </row>
    <row r="58" spans="1:8" x14ac:dyDescent="0.25">
      <c r="A58" t="s">
        <v>212</v>
      </c>
      <c r="B58" t="s">
        <v>14</v>
      </c>
      <c r="C58" t="s">
        <v>15</v>
      </c>
      <c r="D58" s="9">
        <f>AVERAGE(D59:D60)</f>
        <v>1.0873041253597699</v>
      </c>
      <c r="E58" s="9">
        <f>AVERAGE(E59:E60)</f>
        <v>6.5950413223140503</v>
      </c>
      <c r="F58" s="9">
        <v>9.1300000000000008</v>
      </c>
      <c r="G58" t="s">
        <v>59</v>
      </c>
      <c r="H58" t="s">
        <v>213</v>
      </c>
    </row>
    <row r="59" spans="1:8" x14ac:dyDescent="0.25">
      <c r="A59" t="s">
        <v>214</v>
      </c>
      <c r="B59" t="s">
        <v>14</v>
      </c>
      <c r="C59" t="s">
        <v>15</v>
      </c>
      <c r="D59" s="5">
        <v>2.1746082507195399</v>
      </c>
      <c r="E59" s="5">
        <v>13.190082644628101</v>
      </c>
      <c r="F59" s="5">
        <v>13.4993446920052</v>
      </c>
      <c r="G59" t="s">
        <v>59</v>
      </c>
      <c r="H59" t="s">
        <v>215</v>
      </c>
    </row>
    <row r="60" spans="1:8" x14ac:dyDescent="0.25">
      <c r="A60" t="s">
        <v>227</v>
      </c>
      <c r="B60" t="s">
        <v>207</v>
      </c>
      <c r="C60" t="s">
        <v>176</v>
      </c>
      <c r="D60" s="37">
        <v>0</v>
      </c>
      <c r="E60" s="37">
        <v>0</v>
      </c>
      <c r="F60" s="37">
        <v>0</v>
      </c>
      <c r="G60" t="s">
        <v>228</v>
      </c>
      <c r="H60" t="s">
        <v>59</v>
      </c>
    </row>
    <row r="61" spans="1:8" x14ac:dyDescent="0.25">
      <c r="A61" t="s">
        <v>229</v>
      </c>
      <c r="B61" t="s">
        <v>207</v>
      </c>
      <c r="C61" t="s">
        <v>176</v>
      </c>
      <c r="D61" s="37">
        <v>0</v>
      </c>
      <c r="E61" s="37">
        <v>0</v>
      </c>
      <c r="F61" s="37">
        <v>0</v>
      </c>
      <c r="G61" t="s">
        <v>228</v>
      </c>
      <c r="H61" t="s">
        <v>59</v>
      </c>
    </row>
    <row r="62" spans="1:8" x14ac:dyDescent="0.25">
      <c r="A62" t="s">
        <v>230</v>
      </c>
      <c r="B62" t="s">
        <v>207</v>
      </c>
      <c r="C62" t="s">
        <v>176</v>
      </c>
      <c r="D62" s="37">
        <v>0</v>
      </c>
      <c r="E62" s="37">
        <v>0</v>
      </c>
      <c r="F62" s="37">
        <v>0</v>
      </c>
      <c r="G62" t="s">
        <v>228</v>
      </c>
      <c r="H62" t="s">
        <v>59</v>
      </c>
    </row>
    <row r="63" spans="1:8" x14ac:dyDescent="0.25">
      <c r="A63" t="s">
        <v>231</v>
      </c>
      <c r="B63" t="s">
        <v>207</v>
      </c>
      <c r="C63" t="s">
        <v>176</v>
      </c>
      <c r="D63" s="37">
        <v>0</v>
      </c>
      <c r="E63" s="37">
        <v>0</v>
      </c>
      <c r="F63" s="37">
        <v>0</v>
      </c>
      <c r="G63" t="s">
        <v>228</v>
      </c>
      <c r="H63" t="s">
        <v>59</v>
      </c>
    </row>
    <row r="64" spans="1:8" x14ac:dyDescent="0.25">
      <c r="A64" t="s">
        <v>232</v>
      </c>
      <c r="B64" t="s">
        <v>207</v>
      </c>
      <c r="C64" t="s">
        <v>176</v>
      </c>
      <c r="D64" s="37">
        <v>1</v>
      </c>
      <c r="E64" s="37">
        <v>1</v>
      </c>
      <c r="F64" s="37">
        <v>1</v>
      </c>
      <c r="G64" t="s">
        <v>228</v>
      </c>
      <c r="H64" t="s">
        <v>59</v>
      </c>
    </row>
    <row r="65" spans="1:8" x14ac:dyDescent="0.25">
      <c r="A65" t="s">
        <v>233</v>
      </c>
      <c r="B65" t="s">
        <v>207</v>
      </c>
      <c r="C65" t="s">
        <v>176</v>
      </c>
      <c r="D65" s="37">
        <v>0</v>
      </c>
      <c r="E65" s="37">
        <v>0</v>
      </c>
      <c r="F65" s="37">
        <v>0</v>
      </c>
      <c r="G65" t="s">
        <v>228</v>
      </c>
      <c r="H65" t="s">
        <v>59</v>
      </c>
    </row>
    <row r="66" spans="1:8" x14ac:dyDescent="0.25">
      <c r="A66" t="s">
        <v>234</v>
      </c>
      <c r="B66" t="s">
        <v>207</v>
      </c>
      <c r="C66" t="s">
        <v>176</v>
      </c>
      <c r="D66" s="37">
        <v>0</v>
      </c>
      <c r="E66" s="37">
        <v>0</v>
      </c>
      <c r="F66" s="37">
        <v>0</v>
      </c>
      <c r="G66" t="s">
        <v>228</v>
      </c>
      <c r="H66" t="s">
        <v>59</v>
      </c>
    </row>
    <row r="67" spans="1:8" x14ac:dyDescent="0.25">
      <c r="A67" t="s">
        <v>235</v>
      </c>
      <c r="B67" t="s">
        <v>207</v>
      </c>
      <c r="C67" t="s">
        <v>176</v>
      </c>
      <c r="D67" s="37">
        <v>1</v>
      </c>
      <c r="E67" s="37">
        <v>1</v>
      </c>
      <c r="F67" s="37">
        <v>1</v>
      </c>
      <c r="G67" t="s">
        <v>228</v>
      </c>
      <c r="H67" t="s">
        <v>59</v>
      </c>
    </row>
    <row r="68" spans="1:8" x14ac:dyDescent="0.25">
      <c r="A68" t="s">
        <v>236</v>
      </c>
      <c r="B68" t="s">
        <v>207</v>
      </c>
      <c r="C68" t="s">
        <v>176</v>
      </c>
      <c r="D68" s="37">
        <v>0</v>
      </c>
      <c r="E68" s="37">
        <v>0</v>
      </c>
      <c r="F68" s="37">
        <v>0</v>
      </c>
      <c r="G68" t="s">
        <v>228</v>
      </c>
      <c r="H68" t="s">
        <v>59</v>
      </c>
    </row>
    <row r="69" spans="1:8" x14ac:dyDescent="0.25">
      <c r="A69" t="s">
        <v>237</v>
      </c>
      <c r="B69" t="s">
        <v>207</v>
      </c>
      <c r="C69" t="s">
        <v>176</v>
      </c>
      <c r="D69" s="37">
        <v>0</v>
      </c>
      <c r="E69" s="37">
        <v>0</v>
      </c>
      <c r="F69" s="37">
        <v>0</v>
      </c>
      <c r="G69" t="s">
        <v>228</v>
      </c>
      <c r="H69" t="s">
        <v>59</v>
      </c>
    </row>
    <row r="70" spans="1:8" x14ac:dyDescent="0.25">
      <c r="A70" t="s">
        <v>238</v>
      </c>
      <c r="B70" t="s">
        <v>207</v>
      </c>
      <c r="C70" t="s">
        <v>176</v>
      </c>
      <c r="D70" s="37">
        <v>0</v>
      </c>
      <c r="E70" s="37">
        <v>0</v>
      </c>
      <c r="F70" s="37">
        <v>0</v>
      </c>
      <c r="G70" t="s">
        <v>228</v>
      </c>
      <c r="H70" t="s">
        <v>59</v>
      </c>
    </row>
    <row r="71" spans="1:8" x14ac:dyDescent="0.25">
      <c r="A71" t="s">
        <v>239</v>
      </c>
      <c r="B71" t="s">
        <v>207</v>
      </c>
      <c r="C71" t="s">
        <v>176</v>
      </c>
      <c r="D71" s="37">
        <v>0</v>
      </c>
      <c r="E71" s="37">
        <v>0</v>
      </c>
      <c r="F71" s="37">
        <v>0</v>
      </c>
      <c r="G71" t="s">
        <v>228</v>
      </c>
      <c r="H71" t="s">
        <v>59</v>
      </c>
    </row>
    <row r="72" spans="1:8" x14ac:dyDescent="0.25">
      <c r="A72" t="s">
        <v>240</v>
      </c>
      <c r="B72" t="s">
        <v>59</v>
      </c>
      <c r="C72" t="s">
        <v>90</v>
      </c>
      <c r="D72" s="10" t="str">
        <f>[1]神经外科!$O$4</f>
        <v>创伤性颅内损伤</v>
      </c>
      <c r="E72" s="10" t="str">
        <f>[1]神经外科!$I$4</f>
        <v>创伤性颅内损伤</v>
      </c>
      <c r="F72" s="10" t="str">
        <f>[1]神经外科!$C$4</f>
        <v>创伤性颅内损伤</v>
      </c>
      <c r="G72" t="s">
        <v>59</v>
      </c>
      <c r="H72" t="s">
        <v>59</v>
      </c>
    </row>
    <row r="73" spans="1:8" x14ac:dyDescent="0.25">
      <c r="A73" t="s">
        <v>241</v>
      </c>
      <c r="B73" t="s">
        <v>59</v>
      </c>
      <c r="C73" t="s">
        <v>90</v>
      </c>
      <c r="D73" s="10" t="str">
        <f>[1]神经外科!$N$4</f>
        <v>S06</v>
      </c>
      <c r="E73" s="10" t="str">
        <f>[1]神经外科!$H$4</f>
        <v>S06</v>
      </c>
      <c r="F73" s="10" t="str">
        <f>[1]神经外科!$B$4</f>
        <v>S06</v>
      </c>
      <c r="G73" t="s">
        <v>59</v>
      </c>
      <c r="H73" t="s">
        <v>59</v>
      </c>
    </row>
    <row r="74" spans="1:8" x14ac:dyDescent="0.25">
      <c r="A74" t="s">
        <v>242</v>
      </c>
      <c r="B74" t="s">
        <v>14</v>
      </c>
      <c r="C74" t="s">
        <v>90</v>
      </c>
      <c r="D74" s="10">
        <f>[1]神经外科!$Q$4</f>
        <v>23.504956827630298</v>
      </c>
      <c r="E74" s="10">
        <f>[1]神经外科!$K$4</f>
        <v>21.983471074380201</v>
      </c>
      <c r="F74" s="10">
        <f>[1]神经外科!$E$4</f>
        <v>22.5753604193971</v>
      </c>
      <c r="G74" t="s">
        <v>59</v>
      </c>
      <c r="H74" t="s">
        <v>59</v>
      </c>
    </row>
    <row r="75" spans="1:8" x14ac:dyDescent="0.25">
      <c r="A75" t="s">
        <v>243</v>
      </c>
      <c r="B75" t="s">
        <v>59</v>
      </c>
      <c r="C75" t="s">
        <v>90</v>
      </c>
      <c r="D75" s="10" t="str">
        <f>[1]神经外科!$O$5</f>
        <v>脑内出血</v>
      </c>
      <c r="E75" s="10" t="str">
        <f>[1]神经外科!$I$5</f>
        <v>脑内出血</v>
      </c>
      <c r="F75" s="10" t="str">
        <f>[1]神经外科!$C$5</f>
        <v>脑内出血</v>
      </c>
      <c r="G75" t="s">
        <v>59</v>
      </c>
      <c r="H75" t="s">
        <v>59</v>
      </c>
    </row>
    <row r="76" spans="1:8" x14ac:dyDescent="0.25">
      <c r="A76" t="s">
        <v>244</v>
      </c>
      <c r="B76" t="s">
        <v>59</v>
      </c>
      <c r="C76" t="s">
        <v>90</v>
      </c>
      <c r="D76" s="10" t="str">
        <f>[1]神经外科!$N$5</f>
        <v>I61</v>
      </c>
      <c r="E76" s="10" t="str">
        <f>[1]神经外科!$H$5</f>
        <v>I61</v>
      </c>
      <c r="F76" s="10" t="str">
        <f>[1]神经外科!$B$5</f>
        <v>I61</v>
      </c>
      <c r="G76" t="s">
        <v>59</v>
      </c>
      <c r="H76" t="s">
        <v>59</v>
      </c>
    </row>
    <row r="77" spans="1:8" x14ac:dyDescent="0.25">
      <c r="A77" t="s">
        <v>245</v>
      </c>
      <c r="B77" t="s">
        <v>14</v>
      </c>
      <c r="C77" t="s">
        <v>90</v>
      </c>
      <c r="D77" s="10">
        <f>[1]神经外科!$Q$5</f>
        <v>11.9283658458587</v>
      </c>
      <c r="E77" s="10">
        <f>[1]神经外科!$K$5</f>
        <v>14.049586776859501</v>
      </c>
      <c r="F77" s="10">
        <f>[1]神经外科!$E$5</f>
        <v>13.6959370904325</v>
      </c>
      <c r="G77" t="s">
        <v>59</v>
      </c>
      <c r="H77" t="s">
        <v>59</v>
      </c>
    </row>
    <row r="78" spans="1:8" x14ac:dyDescent="0.25">
      <c r="A78" t="s">
        <v>246</v>
      </c>
      <c r="B78" t="s">
        <v>59</v>
      </c>
      <c r="C78" t="s">
        <v>90</v>
      </c>
      <c r="D78" s="10" t="str">
        <f>[1]神经外科!$O$6</f>
        <v>毒蛇咬伤</v>
      </c>
      <c r="E78" s="10" t="str">
        <f>[1]神经外科!$I$6</f>
        <v>毒蛇咬伤</v>
      </c>
      <c r="F78" s="10" t="str">
        <f>[1]神经外科!$C$6</f>
        <v>毒蛇咬伤</v>
      </c>
      <c r="G78" t="s">
        <v>59</v>
      </c>
      <c r="H78" t="s">
        <v>59</v>
      </c>
    </row>
    <row r="79" spans="1:8" x14ac:dyDescent="0.25">
      <c r="A79" t="s">
        <v>247</v>
      </c>
      <c r="B79" t="s">
        <v>59</v>
      </c>
      <c r="C79" t="s">
        <v>90</v>
      </c>
      <c r="D79" s="10" t="str">
        <f>[1]神经外科!$N$6</f>
        <v>T63.0</v>
      </c>
      <c r="E79" s="10" t="str">
        <f>[1]神经外科!$H$6</f>
        <v>T63.0</v>
      </c>
      <c r="F79" s="10" t="str">
        <f>[1]神经外科!$B$6</f>
        <v>T63</v>
      </c>
      <c r="G79" t="s">
        <v>59</v>
      </c>
      <c r="H79" t="s">
        <v>59</v>
      </c>
    </row>
    <row r="80" spans="1:8" x14ac:dyDescent="0.25">
      <c r="A80" t="s">
        <v>248</v>
      </c>
      <c r="B80" t="s">
        <v>14</v>
      </c>
      <c r="C80" t="s">
        <v>90</v>
      </c>
      <c r="D80" s="10">
        <f>[1]神经外科!$Q$6</f>
        <v>9.1781259993604092</v>
      </c>
      <c r="E80" s="10">
        <f>[1]神经外科!$K$6</f>
        <v>10.247933884297501</v>
      </c>
      <c r="F80" s="10">
        <f>[1]神经外科!$E$6</f>
        <v>11.1074705111402</v>
      </c>
      <c r="G80" t="s">
        <v>59</v>
      </c>
      <c r="H80" t="s">
        <v>59</v>
      </c>
    </row>
    <row r="81" spans="1:8" x14ac:dyDescent="0.25">
      <c r="A81" t="s">
        <v>249</v>
      </c>
      <c r="B81" t="s">
        <v>59</v>
      </c>
      <c r="C81" t="s">
        <v>90</v>
      </c>
      <c r="D81" s="10" t="str">
        <f>[1]神经外科!$O$7</f>
        <v>脑脊膜良性肿瘤</v>
      </c>
      <c r="E81" s="10" t="str">
        <f>[1]神经外科!$I$7</f>
        <v>颅内动脉瘤破裂伴蛛网膜下腔出血</v>
      </c>
      <c r="F81" s="10" t="str">
        <f>[1]神经外科!$C$7</f>
        <v>颅内动脉瘤破裂伴蛛网膜下腔出血</v>
      </c>
      <c r="G81" t="s">
        <v>59</v>
      </c>
      <c r="H81" t="s">
        <v>59</v>
      </c>
    </row>
    <row r="82" spans="1:8" x14ac:dyDescent="0.25">
      <c r="A82" t="s">
        <v>250</v>
      </c>
      <c r="B82" t="s">
        <v>59</v>
      </c>
      <c r="C82" t="s">
        <v>90</v>
      </c>
      <c r="D82" s="10" t="str">
        <f>[1]神经外科!$N$7</f>
        <v>D32</v>
      </c>
      <c r="E82" s="10" t="str">
        <f>[1]神经外科!$H$7</f>
        <v>I60.0-I60.7</v>
      </c>
      <c r="F82" s="10" t="str">
        <f>[1]神经外科!$B$7</f>
        <v>I60.0-I60.7</v>
      </c>
      <c r="G82" t="s">
        <v>59</v>
      </c>
      <c r="H82" t="s">
        <v>59</v>
      </c>
    </row>
    <row r="83" spans="1:8" x14ac:dyDescent="0.25">
      <c r="A83" t="s">
        <v>251</v>
      </c>
      <c r="B83" t="s">
        <v>14</v>
      </c>
      <c r="C83" t="s">
        <v>90</v>
      </c>
      <c r="D83" s="10">
        <f>[1]神经外科!$Q$7</f>
        <v>3.5817077070674799</v>
      </c>
      <c r="E83" s="10">
        <f>[1]神经外科!$K$7</f>
        <v>7.1404958677685997</v>
      </c>
      <c r="F83" s="10">
        <f>[1]神经外科!$E$7</f>
        <v>6.6186107470511102</v>
      </c>
      <c r="G83" t="s">
        <v>59</v>
      </c>
      <c r="H83" t="s">
        <v>59</v>
      </c>
    </row>
    <row r="84" spans="1:8" x14ac:dyDescent="0.25">
      <c r="A84" t="s">
        <v>252</v>
      </c>
      <c r="B84" t="s">
        <v>59</v>
      </c>
      <c r="C84" t="s">
        <v>90</v>
      </c>
      <c r="D84" s="10" t="str">
        <f>[1]神经外科!$O$8</f>
        <v>脑梗死</v>
      </c>
      <c r="E84" s="10" t="str">
        <f>[1]神经外科!$I$8</f>
        <v>脑脊膜良性肿瘤</v>
      </c>
      <c r="F84" s="10" t="str">
        <f>[1]神经外科!$C$8</f>
        <v>全身多处严重复合伤</v>
      </c>
      <c r="G84" t="s">
        <v>59</v>
      </c>
      <c r="H84" t="s">
        <v>59</v>
      </c>
    </row>
    <row r="85" spans="1:8" x14ac:dyDescent="0.25">
      <c r="A85" t="s">
        <v>253</v>
      </c>
      <c r="B85" t="s">
        <v>59</v>
      </c>
      <c r="C85" t="s">
        <v>90</v>
      </c>
      <c r="D85" s="10" t="str">
        <f>[1]神经外科!$N$8</f>
        <v>I63</v>
      </c>
      <c r="E85" s="10" t="str">
        <f>[1]神经外科!$H$8</f>
        <v>D32</v>
      </c>
      <c r="F85" s="10" t="str">
        <f>[1]神经外科!$B$8</f>
        <v>T06</v>
      </c>
      <c r="G85" t="s">
        <v>59</v>
      </c>
      <c r="H85" t="s">
        <v>59</v>
      </c>
    </row>
    <row r="86" spans="1:8" x14ac:dyDescent="0.25">
      <c r="A86" t="s">
        <v>254</v>
      </c>
      <c r="B86" t="s">
        <v>14</v>
      </c>
      <c r="C86" t="s">
        <v>90</v>
      </c>
      <c r="D86" s="10">
        <f>[1]神经外科!$Q$8</f>
        <v>3.3578509753757602</v>
      </c>
      <c r="E86" s="10">
        <f>[1]神经外科!$K$8</f>
        <v>3.1074380165289299</v>
      </c>
      <c r="F86" s="10">
        <f>[1]神经外科!$E$8</f>
        <v>4.9148099606815201</v>
      </c>
      <c r="G86" t="s">
        <v>59</v>
      </c>
      <c r="H86" t="s">
        <v>59</v>
      </c>
    </row>
    <row r="87" spans="1:8" x14ac:dyDescent="0.25">
      <c r="A87" t="s">
        <v>255</v>
      </c>
      <c r="B87" t="s">
        <v>59</v>
      </c>
      <c r="C87" t="s">
        <v>90</v>
      </c>
      <c r="D87" s="22" t="str">
        <f>[2]神经外科!$O$4</f>
        <v>脑内血肿清除术</v>
      </c>
      <c r="E87" s="22" t="str">
        <f>[2]神经外科!$I$4</f>
        <v>头颈部血管腔内裸弹簧圈栓塞术</v>
      </c>
      <c r="F87" s="22" t="str">
        <f>[2]神经外科!$C$4</f>
        <v>头颈部血管腔内裸弹簧圈栓塞术</v>
      </c>
      <c r="G87" t="s">
        <v>59</v>
      </c>
      <c r="H87" t="s">
        <v>59</v>
      </c>
    </row>
    <row r="88" spans="1:8" x14ac:dyDescent="0.25">
      <c r="A88" t="s">
        <v>256</v>
      </c>
      <c r="B88" t="s">
        <v>59</v>
      </c>
      <c r="C88" t="s">
        <v>90</v>
      </c>
      <c r="D88" s="23" t="str">
        <f>[2]神经外科!$N$4</f>
        <v>01.39</v>
      </c>
      <c r="E88" s="23">
        <f>[2]神经外科!$H$4</f>
        <v>39.75</v>
      </c>
      <c r="F88" s="23" t="str">
        <f>[2]神经外科!$B$4</f>
        <v>39.75</v>
      </c>
      <c r="G88" t="s">
        <v>59</v>
      </c>
      <c r="H88" t="s">
        <v>59</v>
      </c>
    </row>
    <row r="89" spans="1:8" x14ac:dyDescent="0.25">
      <c r="A89" t="s">
        <v>257</v>
      </c>
      <c r="B89" t="s">
        <v>14</v>
      </c>
      <c r="C89" t="s">
        <v>90</v>
      </c>
      <c r="D89" s="24">
        <f>[2]神经外科!$Q$4</f>
        <v>12.6775956284153</v>
      </c>
      <c r="E89" s="24">
        <f>[2]神经外科!$K$4</f>
        <v>14.483493077742301</v>
      </c>
      <c r="F89" s="24">
        <f>[2]神经外科!$E$4</f>
        <v>12.588832487309601</v>
      </c>
      <c r="G89" t="s">
        <v>59</v>
      </c>
      <c r="H89" t="s">
        <v>59</v>
      </c>
    </row>
    <row r="90" spans="1:8" x14ac:dyDescent="0.25">
      <c r="A90" t="s">
        <v>258</v>
      </c>
      <c r="B90" t="s">
        <v>59</v>
      </c>
      <c r="C90" t="s">
        <v>90</v>
      </c>
      <c r="D90" s="25" t="str">
        <f>[2]神经外科!$O$5</f>
        <v>脑膜切开伴硬脑膜下腔血肿清除术</v>
      </c>
      <c r="E90" s="25" t="str">
        <f>[2]神经外科!$I$5</f>
        <v>脑血肿清除术</v>
      </c>
      <c r="F90" s="25" t="str">
        <f>[2]神经外科!$C$5</f>
        <v>脑血肿清除术</v>
      </c>
      <c r="G90" t="s">
        <v>59</v>
      </c>
      <c r="H90" t="s">
        <v>59</v>
      </c>
    </row>
    <row r="91" spans="1:8" x14ac:dyDescent="0.25">
      <c r="A91" t="s">
        <v>259</v>
      </c>
      <c r="B91" t="s">
        <v>59</v>
      </c>
      <c r="C91" t="s">
        <v>90</v>
      </c>
      <c r="D91" s="26" t="str">
        <f>[2]神经外科!$N$5</f>
        <v>01.31</v>
      </c>
      <c r="E91" s="26" t="str">
        <f>[2]神经外科!$H$5</f>
        <v>01.39</v>
      </c>
      <c r="F91" s="26" t="str">
        <f>[2]神经外科!$B$5</f>
        <v>01.39</v>
      </c>
      <c r="G91" t="s">
        <v>59</v>
      </c>
      <c r="H91" t="s">
        <v>59</v>
      </c>
    </row>
    <row r="92" spans="1:8" x14ac:dyDescent="0.25">
      <c r="A92" t="s">
        <v>260</v>
      </c>
      <c r="B92" t="s">
        <v>14</v>
      </c>
      <c r="C92" t="s">
        <v>90</v>
      </c>
      <c r="D92" s="24">
        <f>[2]神经外科!$Q$5</f>
        <v>9.7267759562841505</v>
      </c>
      <c r="E92" s="24">
        <f>[2]神经外科!$K$5</f>
        <v>12.247071352502701</v>
      </c>
      <c r="F92" s="24">
        <f>[2]神经外科!$E$5</f>
        <v>11.6751269035533</v>
      </c>
      <c r="G92" t="s">
        <v>59</v>
      </c>
      <c r="H92" t="s">
        <v>59</v>
      </c>
    </row>
    <row r="93" spans="1:8" x14ac:dyDescent="0.25">
      <c r="A93" t="s">
        <v>261</v>
      </c>
      <c r="B93" t="s">
        <v>59</v>
      </c>
      <c r="C93" t="s">
        <v>90</v>
      </c>
      <c r="D93" s="27" t="str">
        <f>[2]神经外科!$O$6</f>
        <v>头皮缝合术</v>
      </c>
      <c r="E93" s="27" t="str">
        <f>[2]神经外科!$I$6</f>
        <v>皮肤裂伤清创缝合术(除外胸壁、腹壁）</v>
      </c>
      <c r="F93" s="27" t="str">
        <f>[2]神经外科!$C$6</f>
        <v>硬脑膜下血肿清除术</v>
      </c>
      <c r="G93" t="s">
        <v>59</v>
      </c>
      <c r="H93" t="s">
        <v>59</v>
      </c>
    </row>
    <row r="94" spans="1:8" x14ac:dyDescent="0.25">
      <c r="A94" t="s">
        <v>262</v>
      </c>
      <c r="B94" t="s">
        <v>59</v>
      </c>
      <c r="C94" t="s">
        <v>90</v>
      </c>
      <c r="D94" s="28">
        <f>[2]神经外科!$N$6</f>
        <v>86.59</v>
      </c>
      <c r="E94" s="28">
        <f>[2]神经外科!$H$6</f>
        <v>86.59</v>
      </c>
      <c r="F94" s="28" t="str">
        <f>[2]神经外科!$B$6</f>
        <v>01.31</v>
      </c>
      <c r="G94" t="s">
        <v>59</v>
      </c>
      <c r="H94" t="s">
        <v>59</v>
      </c>
    </row>
    <row r="95" spans="1:8" x14ac:dyDescent="0.25">
      <c r="A95" t="s">
        <v>263</v>
      </c>
      <c r="B95" t="s">
        <v>14</v>
      </c>
      <c r="C95" t="s">
        <v>90</v>
      </c>
      <c r="D95" s="24">
        <f>[2]神经外科!$Q$6</f>
        <v>9.3989071038251399</v>
      </c>
      <c r="E95" s="24">
        <f>[2]神经外科!$K$6</f>
        <v>11.182108626198101</v>
      </c>
      <c r="F95" s="24">
        <f>[2]神经外科!$E$6</f>
        <v>10.9644670050761</v>
      </c>
      <c r="G95" t="s">
        <v>59</v>
      </c>
      <c r="H95" t="s">
        <v>59</v>
      </c>
    </row>
    <row r="96" spans="1:8" x14ac:dyDescent="0.25">
      <c r="A96" t="s">
        <v>264</v>
      </c>
      <c r="B96" t="s">
        <v>59</v>
      </c>
      <c r="C96" t="s">
        <v>90</v>
      </c>
      <c r="D96" s="24" t="str">
        <f>[2]神经外科!$O$7</f>
        <v>脑病损切除术</v>
      </c>
      <c r="E96" s="24" t="str">
        <f>[2]神经外科!$I$7</f>
        <v>脑病损切除术</v>
      </c>
      <c r="F96" s="24" t="str">
        <f>[2]神经外科!$C$7</f>
        <v>皮肤裂伤清创缝合术(除外胸壁、腹壁）</v>
      </c>
      <c r="G96" t="s">
        <v>59</v>
      </c>
      <c r="H96" t="s">
        <v>59</v>
      </c>
    </row>
    <row r="97" spans="1:8" x14ac:dyDescent="0.25">
      <c r="A97" t="s">
        <v>265</v>
      </c>
      <c r="B97" t="s">
        <v>59</v>
      </c>
      <c r="C97" t="s">
        <v>90</v>
      </c>
      <c r="D97" s="25" t="str">
        <f>[2]神经外科!$N$7</f>
        <v>01.59</v>
      </c>
      <c r="E97" s="25" t="str">
        <f>[2]神经外科!$H$7</f>
        <v>01.59</v>
      </c>
      <c r="F97" s="25" t="str">
        <f>[2]神经外科!$B$7</f>
        <v>86.59</v>
      </c>
      <c r="G97" t="s">
        <v>59</v>
      </c>
      <c r="H97" t="s">
        <v>59</v>
      </c>
    </row>
    <row r="98" spans="1:8" x14ac:dyDescent="0.25">
      <c r="A98" t="s">
        <v>266</v>
      </c>
      <c r="B98" t="s">
        <v>14</v>
      </c>
      <c r="C98" t="s">
        <v>90</v>
      </c>
      <c r="D98" s="26">
        <f>[2]神经外科!$Q$7</f>
        <v>8.4153005464480906</v>
      </c>
      <c r="E98" s="26">
        <f>[2]神经外科!$K$7</f>
        <v>7.3482428115016001</v>
      </c>
      <c r="F98" s="26">
        <f>[2]神经外科!$E$7</f>
        <v>9.5431472081218303</v>
      </c>
      <c r="G98" t="s">
        <v>59</v>
      </c>
      <c r="H98" t="s">
        <v>59</v>
      </c>
    </row>
    <row r="99" spans="1:8" x14ac:dyDescent="0.25">
      <c r="A99" t="s">
        <v>267</v>
      </c>
      <c r="B99" t="s">
        <v>59</v>
      </c>
      <c r="C99" t="s">
        <v>90</v>
      </c>
      <c r="D99" s="24" t="str">
        <f>[2]神经外科!$O$8</f>
        <v>经导管颅内动脉瘤弹簧圈栓塞术</v>
      </c>
      <c r="E99" s="24" t="str">
        <f>[2]神经外科!$I$8</f>
        <v>头皮病损切除术(伴松解）</v>
      </c>
      <c r="F99" s="24" t="str">
        <f>[2]神经外科!$C$8</f>
        <v>脑病损切除术</v>
      </c>
      <c r="G99" t="s">
        <v>59</v>
      </c>
      <c r="H99" t="s">
        <v>59</v>
      </c>
    </row>
    <row r="100" spans="1:8" x14ac:dyDescent="0.25">
      <c r="A100" t="s">
        <v>268</v>
      </c>
      <c r="B100" t="s">
        <v>59</v>
      </c>
      <c r="C100" t="s">
        <v>90</v>
      </c>
      <c r="D100" s="10">
        <f>[2]神经外科!$N$8</f>
        <v>39.72</v>
      </c>
      <c r="E100" s="10" t="str">
        <f>[2]神经外科!$H$8</f>
        <v>86.30</v>
      </c>
      <c r="F100" s="10" t="str">
        <f>[2]神经外科!$B$8</f>
        <v>01.59</v>
      </c>
      <c r="G100" t="s">
        <v>59</v>
      </c>
      <c r="H100" t="s">
        <v>59</v>
      </c>
    </row>
    <row r="101" spans="1:8" x14ac:dyDescent="0.25">
      <c r="A101" t="s">
        <v>269</v>
      </c>
      <c r="B101" t="s">
        <v>14</v>
      </c>
      <c r="C101" t="s">
        <v>90</v>
      </c>
      <c r="D101" s="10">
        <f>[2]神经外科!$Q$8</f>
        <v>6.7759562841529997</v>
      </c>
      <c r="E101" s="10">
        <f>[2]神经外科!$K$8</f>
        <v>5.64430244941427</v>
      </c>
      <c r="F101" s="10">
        <f>[2]神经外科!$E$8</f>
        <v>6.1928934010152297</v>
      </c>
      <c r="G101" t="s">
        <v>59</v>
      </c>
      <c r="H101" t="s">
        <v>59</v>
      </c>
    </row>
  </sheetData>
  <phoneticPr fontId="10" type="noConversion"/>
  <conditionalFormatting sqref="D88">
    <cfRule type="duplicateValues" dxfId="155" priority="12"/>
  </conditionalFormatting>
  <conditionalFormatting sqref="E88">
    <cfRule type="duplicateValues" dxfId="154" priority="4"/>
  </conditionalFormatting>
  <conditionalFormatting sqref="F88">
    <cfRule type="duplicateValues" dxfId="153" priority="8"/>
  </conditionalFormatting>
  <conditionalFormatting sqref="D91">
    <cfRule type="duplicateValues" dxfId="152" priority="11"/>
  </conditionalFormatting>
  <conditionalFormatting sqref="E91">
    <cfRule type="duplicateValues" dxfId="151" priority="3"/>
  </conditionalFormatting>
  <conditionalFormatting sqref="F91">
    <cfRule type="duplicateValues" dxfId="150" priority="7"/>
  </conditionalFormatting>
  <conditionalFormatting sqref="D94">
    <cfRule type="duplicateValues" dxfId="149" priority="9"/>
  </conditionalFormatting>
  <conditionalFormatting sqref="E94">
    <cfRule type="duplicateValues" dxfId="148" priority="1"/>
  </conditionalFormatting>
  <conditionalFormatting sqref="F94">
    <cfRule type="duplicateValues" dxfId="147" priority="5"/>
  </conditionalFormatting>
  <conditionalFormatting sqref="D98">
    <cfRule type="duplicateValues" dxfId="146" priority="10"/>
  </conditionalFormatting>
  <conditionalFormatting sqref="E98">
    <cfRule type="duplicateValues" dxfId="145" priority="2"/>
  </conditionalFormatting>
  <conditionalFormatting sqref="F98">
    <cfRule type="duplicateValues" dxfId="144" priority="6"/>
  </conditionalFormatting>
  <pageMargins left="0.69930555555555596" right="0.69930555555555596" top="0.75" bottom="0.75" header="0.3" footer="0.3"/>
  <ignoredErrors>
    <ignoredError sqref="A2:B31 G2:H31 G34:H101 A34:B101 A1:H1" numberStoredAsText="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H101"/>
  <sheetViews>
    <sheetView topLeftCell="A20"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48.231862923806098</v>
      </c>
      <c r="E2" s="5">
        <v>50.8812260536398</v>
      </c>
      <c r="F2" s="5">
        <v>49.551856594110099</v>
      </c>
      <c r="G2" t="s">
        <v>16</v>
      </c>
      <c r="H2" t="s">
        <v>17</v>
      </c>
    </row>
    <row r="3" spans="1:8" x14ac:dyDescent="0.25">
      <c r="A3" t="s">
        <v>18</v>
      </c>
      <c r="B3" t="s">
        <v>14</v>
      </c>
      <c r="C3" t="s">
        <v>15</v>
      </c>
      <c r="D3" s="5">
        <v>61.602418745275898</v>
      </c>
      <c r="E3" s="5">
        <v>57.153614457831303</v>
      </c>
      <c r="F3" s="5">
        <v>54.349698535745098</v>
      </c>
      <c r="G3" t="s">
        <v>19</v>
      </c>
      <c r="H3" t="s">
        <v>20</v>
      </c>
    </row>
    <row r="4" spans="1:8" x14ac:dyDescent="0.25">
      <c r="A4" t="s">
        <v>21</v>
      </c>
      <c r="B4" t="s">
        <v>14</v>
      </c>
      <c r="C4" t="s">
        <v>15</v>
      </c>
      <c r="D4" s="5">
        <v>29.780801209372601</v>
      </c>
      <c r="E4" s="5">
        <v>26.2801204819277</v>
      </c>
      <c r="F4" s="5">
        <v>26.442721791558998</v>
      </c>
      <c r="G4" t="s">
        <v>22</v>
      </c>
      <c r="H4" t="s">
        <v>23</v>
      </c>
    </row>
    <row r="5" spans="1:8" x14ac:dyDescent="0.25">
      <c r="A5" t="s">
        <v>24</v>
      </c>
      <c r="B5" t="s">
        <v>14</v>
      </c>
      <c r="C5" t="s">
        <v>15</v>
      </c>
      <c r="D5" s="5">
        <v>99.584999999999994</v>
      </c>
      <c r="E5" s="5">
        <v>99.424999999999997</v>
      </c>
      <c r="F5" s="5">
        <v>97.683333333333294</v>
      </c>
      <c r="G5" t="s">
        <v>25</v>
      </c>
      <c r="H5" t="s">
        <v>26</v>
      </c>
    </row>
    <row r="6" spans="1:8" x14ac:dyDescent="0.25">
      <c r="A6" t="s">
        <v>33</v>
      </c>
      <c r="B6" t="s">
        <v>14</v>
      </c>
      <c r="C6" t="s">
        <v>34</v>
      </c>
      <c r="D6" s="5">
        <v>0</v>
      </c>
      <c r="E6" s="5">
        <v>0</v>
      </c>
      <c r="F6" s="5">
        <v>0</v>
      </c>
      <c r="G6" t="s">
        <v>35</v>
      </c>
      <c r="H6" t="s">
        <v>36</v>
      </c>
    </row>
    <row r="7" spans="1:8" x14ac:dyDescent="0.25">
      <c r="A7" t="s">
        <v>37</v>
      </c>
      <c r="B7" t="s">
        <v>14</v>
      </c>
      <c r="C7" t="s">
        <v>34</v>
      </c>
      <c r="D7" s="5">
        <v>0</v>
      </c>
      <c r="E7" s="5">
        <v>0.26</v>
      </c>
      <c r="F7" s="5">
        <v>0</v>
      </c>
      <c r="G7" t="s">
        <v>39</v>
      </c>
      <c r="H7" t="s">
        <v>40</v>
      </c>
    </row>
    <row r="8" spans="1:8" x14ac:dyDescent="0.25">
      <c r="A8" t="s">
        <v>41</v>
      </c>
      <c r="B8" t="s">
        <v>14</v>
      </c>
      <c r="C8" t="s">
        <v>10</v>
      </c>
      <c r="D8" s="5"/>
      <c r="E8" s="5"/>
      <c r="F8" s="5"/>
      <c r="G8" t="s">
        <v>39</v>
      </c>
      <c r="H8" t="s">
        <v>44</v>
      </c>
    </row>
    <row r="9" spans="1:8" x14ac:dyDescent="0.25">
      <c r="A9" t="s">
        <v>51</v>
      </c>
      <c r="B9" t="s">
        <v>14</v>
      </c>
      <c r="C9" t="s">
        <v>34</v>
      </c>
      <c r="D9" s="5">
        <v>0</v>
      </c>
      <c r="E9" s="5">
        <v>0</v>
      </c>
      <c r="F9" s="5">
        <v>0</v>
      </c>
      <c r="G9" t="s">
        <v>19</v>
      </c>
      <c r="H9" t="s">
        <v>52</v>
      </c>
    </row>
    <row r="10" spans="1:8" x14ac:dyDescent="0.25">
      <c r="A10" t="s">
        <v>57</v>
      </c>
      <c r="B10" t="s">
        <v>14</v>
      </c>
      <c r="C10" t="s">
        <v>38</v>
      </c>
      <c r="D10" s="5">
        <v>1.31</v>
      </c>
      <c r="E10" s="5">
        <v>1.45</v>
      </c>
      <c r="F10" s="5">
        <v>1.54</v>
      </c>
      <c r="G10" t="s">
        <v>58</v>
      </c>
      <c r="H10" t="s">
        <v>59</v>
      </c>
    </row>
    <row r="11" spans="1:8" x14ac:dyDescent="0.25">
      <c r="A11" t="s">
        <v>63</v>
      </c>
      <c r="B11" t="s">
        <v>64</v>
      </c>
      <c r="C11" t="s">
        <v>61</v>
      </c>
      <c r="D11" s="41">
        <v>61.19</v>
      </c>
      <c r="E11" s="41">
        <v>62.34</v>
      </c>
      <c r="F11" s="41">
        <v>171.48</v>
      </c>
      <c r="G11" t="s">
        <v>35</v>
      </c>
      <c r="H11" t="s">
        <v>65</v>
      </c>
    </row>
    <row r="12" spans="1:8" x14ac:dyDescent="0.25">
      <c r="A12" t="s">
        <v>66</v>
      </c>
      <c r="B12" t="s">
        <v>14</v>
      </c>
      <c r="C12" t="s">
        <v>61</v>
      </c>
      <c r="D12" s="5">
        <v>69.010000000000005</v>
      </c>
      <c r="E12" s="5">
        <v>41.78</v>
      </c>
      <c r="F12" s="5">
        <v>45.91</v>
      </c>
      <c r="G12" t="s">
        <v>39</v>
      </c>
      <c r="H12" t="s">
        <v>67</v>
      </c>
    </row>
    <row r="13" spans="1:8" x14ac:dyDescent="0.25">
      <c r="A13" t="s">
        <v>68</v>
      </c>
      <c r="B13" t="s">
        <v>14</v>
      </c>
      <c r="C13" t="s">
        <v>61</v>
      </c>
      <c r="D13" s="40">
        <v>95.61</v>
      </c>
      <c r="E13" s="40">
        <v>93.62</v>
      </c>
      <c r="F13" s="40">
        <v>90.38</v>
      </c>
      <c r="G13" t="s">
        <v>39</v>
      </c>
      <c r="H13" t="s">
        <v>69</v>
      </c>
    </row>
    <row r="14" spans="1:8" x14ac:dyDescent="0.25">
      <c r="A14" t="s">
        <v>74</v>
      </c>
      <c r="B14" t="s">
        <v>14</v>
      </c>
      <c r="C14" t="s">
        <v>75</v>
      </c>
      <c r="D14" s="18">
        <f>(113400+44100)/22637541*100</f>
        <v>0.6957469453064713</v>
      </c>
      <c r="E14" s="18">
        <f>251401/21519099*100</f>
        <v>1.1682691733515422</v>
      </c>
      <c r="F14" s="36"/>
      <c r="G14" t="s">
        <v>35</v>
      </c>
      <c r="H14" t="s">
        <v>76</v>
      </c>
    </row>
    <row r="15" spans="1:8" x14ac:dyDescent="0.25">
      <c r="A15" t="s">
        <v>91</v>
      </c>
      <c r="B15" t="s">
        <v>92</v>
      </c>
      <c r="C15" t="s">
        <v>15</v>
      </c>
      <c r="D15" s="5">
        <v>9.5950000000000006</v>
      </c>
      <c r="E15" s="5">
        <v>10.14</v>
      </c>
      <c r="F15" s="5">
        <v>10.723333333333301</v>
      </c>
      <c r="G15" t="s">
        <v>93</v>
      </c>
      <c r="H15" t="s">
        <v>94</v>
      </c>
    </row>
    <row r="16" spans="1:8" x14ac:dyDescent="0.25">
      <c r="A16" t="s">
        <v>95</v>
      </c>
      <c r="B16" t="s">
        <v>59</v>
      </c>
      <c r="C16" t="s">
        <v>34</v>
      </c>
      <c r="D16" s="5">
        <v>2.105</v>
      </c>
      <c r="E16" s="5">
        <v>2.08</v>
      </c>
      <c r="F16" s="5">
        <v>2.08</v>
      </c>
      <c r="G16" t="s">
        <v>96</v>
      </c>
      <c r="H16" t="s">
        <v>59</v>
      </c>
    </row>
    <row r="17" spans="1:8" x14ac:dyDescent="0.25">
      <c r="A17" t="s">
        <v>97</v>
      </c>
      <c r="B17" t="s">
        <v>98</v>
      </c>
      <c r="C17" t="s">
        <v>34</v>
      </c>
      <c r="D17" s="5">
        <v>102</v>
      </c>
      <c r="E17" s="5">
        <v>106</v>
      </c>
      <c r="F17" s="5">
        <v>65</v>
      </c>
      <c r="G17" t="s">
        <v>99</v>
      </c>
      <c r="H17" t="s">
        <v>59</v>
      </c>
    </row>
    <row r="18" spans="1:8" x14ac:dyDescent="0.25">
      <c r="A18" t="s">
        <v>104</v>
      </c>
      <c r="B18" t="s">
        <v>105</v>
      </c>
      <c r="C18" t="s">
        <v>15</v>
      </c>
      <c r="D18" s="37">
        <v>65</v>
      </c>
      <c r="E18" s="37">
        <v>65</v>
      </c>
      <c r="F18" s="37">
        <v>65</v>
      </c>
      <c r="G18" t="s">
        <v>58</v>
      </c>
      <c r="H18" t="s">
        <v>59</v>
      </c>
    </row>
    <row r="19" spans="1:8" x14ac:dyDescent="0.25">
      <c r="A19" t="s">
        <v>106</v>
      </c>
      <c r="B19" t="s">
        <v>105</v>
      </c>
      <c r="C19" t="s">
        <v>15</v>
      </c>
      <c r="D19" s="37">
        <v>73</v>
      </c>
      <c r="E19" s="37">
        <v>65</v>
      </c>
      <c r="F19" s="37">
        <v>60</v>
      </c>
      <c r="G19" t="s">
        <v>58</v>
      </c>
      <c r="H19" t="s">
        <v>59</v>
      </c>
    </row>
    <row r="20" spans="1:8" x14ac:dyDescent="0.25">
      <c r="A20" t="s">
        <v>107</v>
      </c>
      <c r="B20" t="s">
        <v>14</v>
      </c>
      <c r="C20" t="s">
        <v>15</v>
      </c>
      <c r="D20" s="5">
        <v>99.32</v>
      </c>
      <c r="E20" s="5">
        <v>112.28</v>
      </c>
      <c r="F20" s="5">
        <v>113.07666666666699</v>
      </c>
      <c r="G20" t="s">
        <v>58</v>
      </c>
      <c r="H20" t="s">
        <v>108</v>
      </c>
    </row>
    <row r="21" spans="1:8" x14ac:dyDescent="0.25">
      <c r="A21" t="s">
        <v>112</v>
      </c>
      <c r="B21" t="s">
        <v>59</v>
      </c>
      <c r="C21" t="s">
        <v>102</v>
      </c>
      <c r="D21" s="5">
        <f t="shared" ref="D21:F21" si="0">D43/D19</f>
        <v>0.20547945205479451</v>
      </c>
      <c r="E21" s="5">
        <f t="shared" si="0"/>
        <v>0.2153846153846154</v>
      </c>
      <c r="F21" s="5">
        <f t="shared" si="0"/>
        <v>0.21666666666666667</v>
      </c>
      <c r="G21" t="s">
        <v>110</v>
      </c>
      <c r="H21" t="s">
        <v>113</v>
      </c>
    </row>
    <row r="22" spans="1:8" x14ac:dyDescent="0.25">
      <c r="A22" t="s">
        <v>114</v>
      </c>
      <c r="B22" t="s">
        <v>59</v>
      </c>
      <c r="C22" t="s">
        <v>102</v>
      </c>
      <c r="D22" s="5">
        <f t="shared" ref="D22:F22" si="1">D44/D19</f>
        <v>0.64383561643835618</v>
      </c>
      <c r="E22" s="5">
        <f t="shared" si="1"/>
        <v>0.56923076923076921</v>
      </c>
      <c r="F22" s="5">
        <f t="shared" si="1"/>
        <v>0.55000000000000004</v>
      </c>
      <c r="G22" t="s">
        <v>110</v>
      </c>
      <c r="H22" t="s">
        <v>115</v>
      </c>
    </row>
    <row r="23" spans="1:8" x14ac:dyDescent="0.25">
      <c r="A23" t="s">
        <v>116</v>
      </c>
      <c r="B23" t="s">
        <v>117</v>
      </c>
      <c r="C23" t="s">
        <v>118</v>
      </c>
      <c r="D23" s="5">
        <v>27.210687035714301</v>
      </c>
      <c r="E23" s="5">
        <v>27.232991072727302</v>
      </c>
      <c r="F23" s="5">
        <v>24.865101735849102</v>
      </c>
      <c r="G23" t="s">
        <v>119</v>
      </c>
      <c r="H23" t="s">
        <v>59</v>
      </c>
    </row>
    <row r="24" spans="1:8" x14ac:dyDescent="0.25">
      <c r="A24" t="s">
        <v>120</v>
      </c>
      <c r="B24" t="s">
        <v>117</v>
      </c>
      <c r="C24" t="s">
        <v>118</v>
      </c>
      <c r="D24" s="5">
        <v>45.988641410714301</v>
      </c>
      <c r="E24" s="5">
        <v>45.121927054545502</v>
      </c>
      <c r="F24" s="5">
        <v>41.751459113207503</v>
      </c>
      <c r="G24" t="s">
        <v>121</v>
      </c>
      <c r="H24" t="s">
        <v>59</v>
      </c>
    </row>
    <row r="25" spans="1:8" x14ac:dyDescent="0.25">
      <c r="A25" t="s">
        <v>122</v>
      </c>
      <c r="B25" t="s">
        <v>117</v>
      </c>
      <c r="C25" t="s">
        <v>118</v>
      </c>
      <c r="D25" s="5">
        <v>21.6540922836436</v>
      </c>
      <c r="E25" s="5">
        <v>24.123280866484102</v>
      </c>
      <c r="F25" s="5">
        <v>32.987494167709599</v>
      </c>
      <c r="G25" t="s">
        <v>123</v>
      </c>
      <c r="H25" t="s">
        <v>59</v>
      </c>
    </row>
    <row r="26" spans="1:8" x14ac:dyDescent="0.25">
      <c r="A26" t="s">
        <v>124</v>
      </c>
      <c r="B26" t="s">
        <v>117</v>
      </c>
      <c r="C26" t="s">
        <v>118</v>
      </c>
      <c r="D26" s="5">
        <v>36.597469361944</v>
      </c>
      <c r="E26" s="5">
        <v>39.969495699790599</v>
      </c>
      <c r="F26" s="5">
        <v>55.389920725907402</v>
      </c>
      <c r="G26" t="s">
        <v>125</v>
      </c>
      <c r="H26" t="s">
        <v>59</v>
      </c>
    </row>
    <row r="27" spans="1:8" x14ac:dyDescent="0.25">
      <c r="A27" t="s">
        <v>126</v>
      </c>
      <c r="B27" t="s">
        <v>127</v>
      </c>
      <c r="C27" t="s">
        <v>118</v>
      </c>
      <c r="D27" s="5">
        <v>4.6518721461187198</v>
      </c>
      <c r="E27" s="5">
        <v>4.9908023483365902</v>
      </c>
      <c r="F27" s="5">
        <v>5.2155953635405696</v>
      </c>
      <c r="G27" t="s">
        <v>39</v>
      </c>
      <c r="H27" t="s">
        <v>128</v>
      </c>
    </row>
    <row r="28" spans="1:8" x14ac:dyDescent="0.25">
      <c r="A28" t="s">
        <v>129</v>
      </c>
      <c r="B28" t="s">
        <v>14</v>
      </c>
      <c r="C28" t="s">
        <v>118</v>
      </c>
      <c r="D28" s="5">
        <v>35.029645734044898</v>
      </c>
      <c r="E28" s="5">
        <v>35.190441558001297</v>
      </c>
      <c r="F28" s="5">
        <v>33.780933703304598</v>
      </c>
      <c r="G28" t="s">
        <v>130</v>
      </c>
      <c r="H28" t="s">
        <v>131</v>
      </c>
    </row>
    <row r="29" spans="1:8" x14ac:dyDescent="0.25">
      <c r="A29" t="s">
        <v>132</v>
      </c>
      <c r="B29" t="s">
        <v>117</v>
      </c>
      <c r="C29" t="s">
        <v>118</v>
      </c>
      <c r="D29" s="5">
        <v>4350.0253629999997</v>
      </c>
      <c r="E29" s="5">
        <v>4256.3106420000004</v>
      </c>
      <c r="F29" s="5">
        <v>3901.1662719999999</v>
      </c>
      <c r="G29" t="s">
        <v>59</v>
      </c>
      <c r="H29" t="s">
        <v>133</v>
      </c>
    </row>
    <row r="30" spans="1:8" x14ac:dyDescent="0.25">
      <c r="A30" t="s">
        <v>134</v>
      </c>
      <c r="B30" t="s">
        <v>117</v>
      </c>
      <c r="C30" t="s">
        <v>118</v>
      </c>
      <c r="D30" s="5">
        <v>1523.7984739999999</v>
      </c>
      <c r="E30" s="5">
        <v>1497.814509</v>
      </c>
      <c r="F30" s="5">
        <v>1317.8503920000001</v>
      </c>
      <c r="G30" t="s">
        <v>59</v>
      </c>
      <c r="H30" t="s">
        <v>59</v>
      </c>
    </row>
    <row r="31" spans="1:8" x14ac:dyDescent="0.25">
      <c r="A31" t="s">
        <v>135</v>
      </c>
      <c r="B31" t="s">
        <v>117</v>
      </c>
      <c r="C31" t="s">
        <v>118</v>
      </c>
      <c r="D31" s="5">
        <v>2575.3639189999999</v>
      </c>
      <c r="E31" s="5">
        <v>2481.7059880000002</v>
      </c>
      <c r="F31" s="5">
        <v>2212.8273330000002</v>
      </c>
      <c r="G31" t="s">
        <v>59</v>
      </c>
      <c r="H31" t="s">
        <v>136</v>
      </c>
    </row>
    <row r="32" spans="1:8" x14ac:dyDescent="0.25">
      <c r="A32" t="s">
        <v>216</v>
      </c>
      <c r="B32" t="s">
        <v>117</v>
      </c>
      <c r="D32" s="17">
        <v>2982.02</v>
      </c>
      <c r="E32" s="17">
        <v>2447.02</v>
      </c>
      <c r="F32" s="17">
        <v>2111.2800000000002</v>
      </c>
    </row>
    <row r="33" spans="1:8" x14ac:dyDescent="0.25">
      <c r="A33" t="s">
        <v>143</v>
      </c>
      <c r="B33" t="s">
        <v>14</v>
      </c>
      <c r="D33" s="15">
        <v>20.239999999999998</v>
      </c>
      <c r="E33" s="15">
        <v>10.85</v>
      </c>
      <c r="F33" s="15">
        <v>-0.24</v>
      </c>
    </row>
    <row r="34" spans="1:8" x14ac:dyDescent="0.25">
      <c r="A34" t="s">
        <v>137</v>
      </c>
      <c r="B34" t="s">
        <v>138</v>
      </c>
      <c r="C34" t="s">
        <v>139</v>
      </c>
      <c r="D34" s="11"/>
      <c r="E34" s="11"/>
      <c r="F34" s="11"/>
      <c r="G34" t="s">
        <v>35</v>
      </c>
      <c r="H34" t="s">
        <v>140</v>
      </c>
    </row>
    <row r="35" spans="1:8" x14ac:dyDescent="0.25">
      <c r="A35" t="s">
        <v>217</v>
      </c>
      <c r="B35" t="s">
        <v>14</v>
      </c>
      <c r="C35" t="s">
        <v>118</v>
      </c>
      <c r="D35" s="5">
        <v>6.8663848845701496</v>
      </c>
      <c r="E35" s="5">
        <v>5.6825098152692597</v>
      </c>
      <c r="F35" s="5">
        <v>5.2620872499945603</v>
      </c>
      <c r="G35" t="s">
        <v>22</v>
      </c>
      <c r="H35" t="s">
        <v>218</v>
      </c>
    </row>
    <row r="36" spans="1:8" x14ac:dyDescent="0.25">
      <c r="A36" t="s">
        <v>219</v>
      </c>
      <c r="B36" t="s">
        <v>14</v>
      </c>
      <c r="C36" t="s">
        <v>118</v>
      </c>
      <c r="D36" s="5">
        <v>93.133615115429805</v>
      </c>
      <c r="E36" s="5">
        <v>94.317490184730701</v>
      </c>
      <c r="F36" s="5">
        <v>94.737912750005407</v>
      </c>
      <c r="G36" t="s">
        <v>22</v>
      </c>
      <c r="H36" t="s">
        <v>220</v>
      </c>
    </row>
    <row r="37" spans="1:8" x14ac:dyDescent="0.25">
      <c r="A37" t="s">
        <v>144</v>
      </c>
      <c r="B37" t="s">
        <v>14</v>
      </c>
      <c r="C37" t="s">
        <v>118</v>
      </c>
      <c r="D37" s="5">
        <v>2.20178292616266</v>
      </c>
      <c r="E37" s="5">
        <v>9.1035435364288997</v>
      </c>
      <c r="F37" s="5">
        <v>22.1408505638388</v>
      </c>
      <c r="G37" t="s">
        <v>35</v>
      </c>
      <c r="H37" t="s">
        <v>145</v>
      </c>
    </row>
    <row r="38" spans="1:8" x14ac:dyDescent="0.25">
      <c r="A38" t="s">
        <v>146</v>
      </c>
      <c r="B38" t="s">
        <v>14</v>
      </c>
      <c r="C38" t="s">
        <v>118</v>
      </c>
      <c r="D38" s="5">
        <v>0.99817345397627399</v>
      </c>
      <c r="E38" s="5">
        <v>1.6739629774056799</v>
      </c>
      <c r="F38" s="5">
        <v>3.0881782081910201</v>
      </c>
      <c r="G38" t="s">
        <v>35</v>
      </c>
      <c r="H38" t="s">
        <v>147</v>
      </c>
    </row>
    <row r="39" spans="1:8" x14ac:dyDescent="0.25">
      <c r="A39" t="s">
        <v>148</v>
      </c>
      <c r="B39" t="s">
        <v>14</v>
      </c>
      <c r="C39" t="s">
        <v>118</v>
      </c>
      <c r="D39" s="5">
        <v>-4.5185479893309699</v>
      </c>
      <c r="E39" s="5">
        <v>-35.240967914583003</v>
      </c>
      <c r="F39" s="5">
        <v>62.502238632015199</v>
      </c>
      <c r="G39" t="s">
        <v>35</v>
      </c>
      <c r="H39" t="s">
        <v>149</v>
      </c>
    </row>
    <row r="40" spans="1:8" x14ac:dyDescent="0.25">
      <c r="A40" t="s">
        <v>150</v>
      </c>
      <c r="B40" t="s">
        <v>14</v>
      </c>
      <c r="C40" t="s">
        <v>118</v>
      </c>
      <c r="D40" s="5">
        <v>10.112720819461</v>
      </c>
      <c r="E40" s="5">
        <v>9.3434159621431796</v>
      </c>
      <c r="F40" s="5">
        <v>10.3600374307437</v>
      </c>
      <c r="G40" t="s">
        <v>35</v>
      </c>
      <c r="H40" t="s">
        <v>151</v>
      </c>
    </row>
    <row r="41" spans="1:8" x14ac:dyDescent="0.25">
      <c r="A41" t="s">
        <v>152</v>
      </c>
      <c r="B41" t="s">
        <v>14</v>
      </c>
      <c r="C41" t="s">
        <v>118</v>
      </c>
      <c r="D41" s="5">
        <v>-6.3254157547049603</v>
      </c>
      <c r="E41" s="5">
        <v>-42.357881967406897</v>
      </c>
      <c r="F41" s="5">
        <v>62.717843245641099</v>
      </c>
      <c r="G41" t="s">
        <v>35</v>
      </c>
      <c r="H41" t="s">
        <v>153</v>
      </c>
    </row>
    <row r="42" spans="1:8" x14ac:dyDescent="0.25">
      <c r="A42" t="s">
        <v>164</v>
      </c>
      <c r="B42" t="s">
        <v>59</v>
      </c>
      <c r="C42" t="s">
        <v>102</v>
      </c>
      <c r="D42" s="5">
        <v>0.32</v>
      </c>
      <c r="E42" s="5">
        <v>0.38</v>
      </c>
      <c r="F42" s="5">
        <v>0.39</v>
      </c>
      <c r="G42" t="s">
        <v>165</v>
      </c>
      <c r="H42" t="s">
        <v>166</v>
      </c>
    </row>
    <row r="43" spans="1:8" x14ac:dyDescent="0.25">
      <c r="A43" t="s">
        <v>167</v>
      </c>
      <c r="B43" t="s">
        <v>101</v>
      </c>
      <c r="C43" t="s">
        <v>102</v>
      </c>
      <c r="D43" s="37">
        <v>15</v>
      </c>
      <c r="E43" s="37">
        <v>14</v>
      </c>
      <c r="F43" s="37">
        <v>13</v>
      </c>
      <c r="G43" t="s">
        <v>168</v>
      </c>
      <c r="H43" t="s">
        <v>59</v>
      </c>
    </row>
    <row r="44" spans="1:8" x14ac:dyDescent="0.25">
      <c r="A44" t="s">
        <v>169</v>
      </c>
      <c r="B44" t="s">
        <v>101</v>
      </c>
      <c r="C44" t="s">
        <v>102</v>
      </c>
      <c r="D44" s="37">
        <v>47</v>
      </c>
      <c r="E44" s="37">
        <v>37</v>
      </c>
      <c r="F44" s="37">
        <v>33</v>
      </c>
      <c r="G44" t="s">
        <v>168</v>
      </c>
      <c r="H44" t="s">
        <v>59</v>
      </c>
    </row>
    <row r="45" spans="1:8" x14ac:dyDescent="0.25">
      <c r="A45" t="s">
        <v>221</v>
      </c>
      <c r="B45" t="s">
        <v>14</v>
      </c>
      <c r="C45" t="s">
        <v>102</v>
      </c>
      <c r="D45" s="5">
        <v>46.67</v>
      </c>
      <c r="E45" s="5">
        <v>50</v>
      </c>
      <c r="F45" s="5">
        <v>38.46</v>
      </c>
      <c r="G45" t="s">
        <v>59</v>
      </c>
      <c r="H45" t="s">
        <v>222</v>
      </c>
    </row>
    <row r="46" spans="1:8" x14ac:dyDescent="0.25">
      <c r="A46" t="s">
        <v>223</v>
      </c>
      <c r="B46" t="s">
        <v>14</v>
      </c>
      <c r="C46" t="s">
        <v>102</v>
      </c>
      <c r="D46" s="5">
        <v>20</v>
      </c>
      <c r="E46" s="5">
        <v>21.43</v>
      </c>
      <c r="F46" s="5">
        <v>23.08</v>
      </c>
      <c r="G46" t="s">
        <v>59</v>
      </c>
      <c r="H46" t="s">
        <v>224</v>
      </c>
    </row>
    <row r="47" spans="1:8" x14ac:dyDescent="0.25">
      <c r="A47" t="s">
        <v>225</v>
      </c>
      <c r="B47" t="s">
        <v>14</v>
      </c>
      <c r="C47" t="s">
        <v>102</v>
      </c>
      <c r="D47" s="5">
        <v>66.67</v>
      </c>
      <c r="E47" s="5">
        <v>64.290000000000006</v>
      </c>
      <c r="F47" s="5">
        <v>61.54</v>
      </c>
      <c r="G47" t="s">
        <v>59</v>
      </c>
      <c r="H47" t="s">
        <v>226</v>
      </c>
    </row>
    <row r="48" spans="1:8" x14ac:dyDescent="0.25">
      <c r="A48" t="s">
        <v>188</v>
      </c>
      <c r="B48" t="s">
        <v>59</v>
      </c>
      <c r="C48" t="s">
        <v>176</v>
      </c>
      <c r="D48" s="5">
        <v>0</v>
      </c>
      <c r="E48" s="5">
        <v>0</v>
      </c>
      <c r="F48" s="5">
        <v>0</v>
      </c>
      <c r="G48" t="s">
        <v>186</v>
      </c>
      <c r="H48" t="s">
        <v>189</v>
      </c>
    </row>
    <row r="49" spans="1:8" x14ac:dyDescent="0.25">
      <c r="A49" t="s">
        <v>190</v>
      </c>
      <c r="B49" t="s">
        <v>59</v>
      </c>
      <c r="C49" t="s">
        <v>176</v>
      </c>
      <c r="D49" s="5">
        <v>0</v>
      </c>
      <c r="E49" s="5">
        <v>0</v>
      </c>
      <c r="F49" s="5">
        <v>0</v>
      </c>
      <c r="G49" t="s">
        <v>191</v>
      </c>
      <c r="H49" t="s">
        <v>192</v>
      </c>
    </row>
    <row r="50" spans="1:8" x14ac:dyDescent="0.25">
      <c r="A50" t="s">
        <v>193</v>
      </c>
      <c r="B50" t="s">
        <v>59</v>
      </c>
      <c r="C50" t="s">
        <v>176</v>
      </c>
      <c r="D50" s="5">
        <v>0</v>
      </c>
      <c r="E50" s="5">
        <v>0</v>
      </c>
      <c r="F50" s="5">
        <v>0</v>
      </c>
      <c r="G50" t="s">
        <v>191</v>
      </c>
      <c r="H50" t="s">
        <v>194</v>
      </c>
    </row>
    <row r="51" spans="1:8" x14ac:dyDescent="0.25">
      <c r="A51" t="s">
        <v>195</v>
      </c>
      <c r="B51" t="s">
        <v>196</v>
      </c>
      <c r="C51" t="s">
        <v>176</v>
      </c>
      <c r="D51" s="5">
        <v>32258.064516129001</v>
      </c>
      <c r="E51" s="5">
        <v>0</v>
      </c>
      <c r="F51" s="5">
        <v>21739.130434782601</v>
      </c>
      <c r="G51" t="s">
        <v>39</v>
      </c>
      <c r="H51" t="s">
        <v>197</v>
      </c>
    </row>
    <row r="52" spans="1:8" x14ac:dyDescent="0.25">
      <c r="A52" t="s">
        <v>198</v>
      </c>
      <c r="B52" t="s">
        <v>196</v>
      </c>
      <c r="C52" t="s">
        <v>176</v>
      </c>
      <c r="D52" s="5">
        <v>0</v>
      </c>
      <c r="E52" s="5">
        <v>0</v>
      </c>
      <c r="F52" s="5">
        <v>0</v>
      </c>
      <c r="G52" t="s">
        <v>22</v>
      </c>
      <c r="H52" t="s">
        <v>199</v>
      </c>
    </row>
    <row r="53" spans="1:8" x14ac:dyDescent="0.25">
      <c r="A53" t="s">
        <v>200</v>
      </c>
      <c r="B53" t="s">
        <v>201</v>
      </c>
      <c r="C53" t="s">
        <v>176</v>
      </c>
      <c r="D53" s="5">
        <v>0</v>
      </c>
      <c r="E53" s="5">
        <v>0</v>
      </c>
      <c r="F53" s="5">
        <v>0</v>
      </c>
      <c r="G53" t="s">
        <v>202</v>
      </c>
      <c r="H53" t="s">
        <v>59</v>
      </c>
    </row>
    <row r="54" spans="1:8" x14ac:dyDescent="0.25">
      <c r="A54" t="s">
        <v>203</v>
      </c>
      <c r="B54" t="s">
        <v>204</v>
      </c>
      <c r="C54" t="s">
        <v>176</v>
      </c>
      <c r="D54" s="5">
        <v>0</v>
      </c>
      <c r="E54" s="5">
        <v>0</v>
      </c>
      <c r="F54" s="5">
        <v>0</v>
      </c>
      <c r="G54" t="s">
        <v>205</v>
      </c>
      <c r="H54" t="s">
        <v>59</v>
      </c>
    </row>
    <row r="55" spans="1:8" x14ac:dyDescent="0.25">
      <c r="A55" t="s">
        <v>206</v>
      </c>
      <c r="B55" t="s">
        <v>207</v>
      </c>
      <c r="C55" t="s">
        <v>176</v>
      </c>
      <c r="D55" s="5">
        <v>0</v>
      </c>
      <c r="E55" s="5">
        <v>0</v>
      </c>
      <c r="F55" s="5">
        <v>0</v>
      </c>
      <c r="G55" t="s">
        <v>205</v>
      </c>
      <c r="H55" t="s">
        <v>59</v>
      </c>
    </row>
    <row r="56" spans="1:8" x14ac:dyDescent="0.25">
      <c r="A56" t="s">
        <v>208</v>
      </c>
      <c r="B56" t="s">
        <v>14</v>
      </c>
      <c r="C56" t="s">
        <v>176</v>
      </c>
      <c r="D56" s="5">
        <v>0</v>
      </c>
      <c r="E56" s="5">
        <v>0</v>
      </c>
      <c r="F56" s="5">
        <v>0</v>
      </c>
      <c r="G56" t="s">
        <v>59</v>
      </c>
      <c r="H56" t="s">
        <v>209</v>
      </c>
    </row>
    <row r="57" spans="1:8" x14ac:dyDescent="0.25">
      <c r="A57" t="s">
        <v>210</v>
      </c>
      <c r="B57" t="s">
        <v>14</v>
      </c>
      <c r="C57" t="s">
        <v>176</v>
      </c>
      <c r="D57" s="5">
        <v>20</v>
      </c>
      <c r="E57" s="5">
        <v>21.42</v>
      </c>
      <c r="F57" s="5">
        <v>0</v>
      </c>
      <c r="G57" t="s">
        <v>59</v>
      </c>
      <c r="H57" t="s">
        <v>211</v>
      </c>
    </row>
    <row r="58" spans="1:8" x14ac:dyDescent="0.25">
      <c r="A58" t="s">
        <v>212</v>
      </c>
      <c r="B58" t="s">
        <v>14</v>
      </c>
      <c r="C58" t="s">
        <v>15</v>
      </c>
      <c r="D58" s="9">
        <f>AVERAGE(D59:D60)</f>
        <v>0.76558512577469995</v>
      </c>
      <c r="E58" s="9">
        <f>AVERAGE(E59:E60)</f>
        <v>1.7049808429118749</v>
      </c>
      <c r="F58" s="9">
        <v>5.5701179554390601</v>
      </c>
      <c r="G58" t="s">
        <v>59</v>
      </c>
      <c r="H58" t="s">
        <v>213</v>
      </c>
    </row>
    <row r="59" spans="1:8" x14ac:dyDescent="0.25">
      <c r="A59" t="s">
        <v>214</v>
      </c>
      <c r="B59" t="s">
        <v>14</v>
      </c>
      <c r="C59" t="s">
        <v>15</v>
      </c>
      <c r="D59" s="5">
        <v>1.5311702515493999</v>
      </c>
      <c r="E59" s="5">
        <v>3.4099616858237498</v>
      </c>
      <c r="F59" s="5">
        <v>2.7742210840802399</v>
      </c>
      <c r="G59" t="s">
        <v>59</v>
      </c>
      <c r="H59" t="s">
        <v>215</v>
      </c>
    </row>
    <row r="60" spans="1:8" x14ac:dyDescent="0.25">
      <c r="A60" t="s">
        <v>227</v>
      </c>
      <c r="B60" t="s">
        <v>207</v>
      </c>
      <c r="C60" t="s">
        <v>176</v>
      </c>
      <c r="D60" s="37">
        <v>0</v>
      </c>
      <c r="E60" s="37">
        <v>0</v>
      </c>
      <c r="F60" s="37">
        <v>0</v>
      </c>
      <c r="G60" t="s">
        <v>228</v>
      </c>
      <c r="H60" t="s">
        <v>59</v>
      </c>
    </row>
    <row r="61" spans="1:8" x14ac:dyDescent="0.25">
      <c r="A61" t="s">
        <v>229</v>
      </c>
      <c r="B61" t="s">
        <v>207</v>
      </c>
      <c r="C61" t="s">
        <v>176</v>
      </c>
      <c r="D61" s="37">
        <v>0</v>
      </c>
      <c r="E61" s="37">
        <v>0</v>
      </c>
      <c r="F61" s="37">
        <v>0</v>
      </c>
      <c r="G61" t="s">
        <v>228</v>
      </c>
      <c r="H61" t="s">
        <v>59</v>
      </c>
    </row>
    <row r="62" spans="1:8" x14ac:dyDescent="0.25">
      <c r="A62" t="s">
        <v>230</v>
      </c>
      <c r="B62" t="s">
        <v>207</v>
      </c>
      <c r="C62" t="s">
        <v>176</v>
      </c>
      <c r="D62" s="37">
        <v>0</v>
      </c>
      <c r="E62" s="37">
        <v>0</v>
      </c>
      <c r="F62" s="37">
        <v>0</v>
      </c>
      <c r="G62" t="s">
        <v>228</v>
      </c>
      <c r="H62" t="s">
        <v>59</v>
      </c>
    </row>
    <row r="63" spans="1:8" x14ac:dyDescent="0.25">
      <c r="A63" t="s">
        <v>231</v>
      </c>
      <c r="B63" t="s">
        <v>207</v>
      </c>
      <c r="C63" t="s">
        <v>176</v>
      </c>
      <c r="D63" s="37">
        <v>0</v>
      </c>
      <c r="E63" s="37">
        <v>0</v>
      </c>
      <c r="F63" s="37">
        <v>0</v>
      </c>
      <c r="G63" t="s">
        <v>228</v>
      </c>
      <c r="H63" t="s">
        <v>59</v>
      </c>
    </row>
    <row r="64" spans="1:8" x14ac:dyDescent="0.25">
      <c r="A64" t="s">
        <v>232</v>
      </c>
      <c r="B64" t="s">
        <v>207</v>
      </c>
      <c r="C64" t="s">
        <v>176</v>
      </c>
      <c r="D64" s="37">
        <v>1</v>
      </c>
      <c r="E64" s="37">
        <v>1</v>
      </c>
      <c r="F64" s="37">
        <v>1</v>
      </c>
      <c r="G64" t="s">
        <v>228</v>
      </c>
      <c r="H64" t="s">
        <v>59</v>
      </c>
    </row>
    <row r="65" spans="1:8" x14ac:dyDescent="0.25">
      <c r="A65" t="s">
        <v>233</v>
      </c>
      <c r="B65" t="s">
        <v>207</v>
      </c>
      <c r="C65" t="s">
        <v>176</v>
      </c>
      <c r="D65" s="37">
        <v>0</v>
      </c>
      <c r="E65" s="37">
        <v>0</v>
      </c>
      <c r="F65" s="37">
        <v>0</v>
      </c>
      <c r="G65" t="s">
        <v>228</v>
      </c>
      <c r="H65" t="s">
        <v>59</v>
      </c>
    </row>
    <row r="66" spans="1:8" x14ac:dyDescent="0.25">
      <c r="A66" t="s">
        <v>234</v>
      </c>
      <c r="B66" t="s">
        <v>207</v>
      </c>
      <c r="C66" t="s">
        <v>176</v>
      </c>
      <c r="D66" s="37">
        <v>0</v>
      </c>
      <c r="E66" s="37">
        <v>0</v>
      </c>
      <c r="F66" s="37">
        <v>0</v>
      </c>
      <c r="G66" t="s">
        <v>228</v>
      </c>
      <c r="H66" t="s">
        <v>59</v>
      </c>
    </row>
    <row r="67" spans="1:8" x14ac:dyDescent="0.25">
      <c r="A67" t="s">
        <v>235</v>
      </c>
      <c r="B67" t="s">
        <v>207</v>
      </c>
      <c r="C67" t="s">
        <v>176</v>
      </c>
      <c r="D67" s="37">
        <v>1</v>
      </c>
      <c r="E67" s="37">
        <v>1</v>
      </c>
      <c r="F67" s="37">
        <v>1</v>
      </c>
      <c r="G67" t="s">
        <v>228</v>
      </c>
      <c r="H67" t="s">
        <v>59</v>
      </c>
    </row>
    <row r="68" spans="1:8" x14ac:dyDescent="0.25">
      <c r="A68" t="s">
        <v>236</v>
      </c>
      <c r="B68" t="s">
        <v>207</v>
      </c>
      <c r="C68" t="s">
        <v>176</v>
      </c>
      <c r="D68" s="37">
        <v>0</v>
      </c>
      <c r="E68" s="37">
        <v>0</v>
      </c>
      <c r="F68" s="37">
        <v>0</v>
      </c>
      <c r="G68" t="s">
        <v>228</v>
      </c>
      <c r="H68" t="s">
        <v>59</v>
      </c>
    </row>
    <row r="69" spans="1:8" x14ac:dyDescent="0.25">
      <c r="A69" t="s">
        <v>237</v>
      </c>
      <c r="B69" t="s">
        <v>207</v>
      </c>
      <c r="C69" t="s">
        <v>176</v>
      </c>
      <c r="D69" s="37">
        <v>0</v>
      </c>
      <c r="E69" s="37">
        <v>0</v>
      </c>
      <c r="F69" s="37">
        <v>0</v>
      </c>
      <c r="G69" t="s">
        <v>228</v>
      </c>
      <c r="H69" t="s">
        <v>59</v>
      </c>
    </row>
    <row r="70" spans="1:8" x14ac:dyDescent="0.25">
      <c r="A70" t="s">
        <v>238</v>
      </c>
      <c r="B70" t="s">
        <v>207</v>
      </c>
      <c r="C70" t="s">
        <v>176</v>
      </c>
      <c r="D70" s="37">
        <v>0</v>
      </c>
      <c r="E70" s="37">
        <v>0</v>
      </c>
      <c r="F70" s="37">
        <v>0</v>
      </c>
      <c r="G70" t="s">
        <v>228</v>
      </c>
      <c r="H70" t="s">
        <v>59</v>
      </c>
    </row>
    <row r="71" spans="1:8" x14ac:dyDescent="0.25">
      <c r="A71" t="s">
        <v>239</v>
      </c>
      <c r="B71" t="s">
        <v>207</v>
      </c>
      <c r="C71" t="s">
        <v>176</v>
      </c>
      <c r="D71" s="37">
        <v>0</v>
      </c>
      <c r="E71" s="37">
        <v>0</v>
      </c>
      <c r="F71" s="37">
        <v>0</v>
      </c>
      <c r="G71" t="s">
        <v>228</v>
      </c>
      <c r="H71" t="s">
        <v>59</v>
      </c>
    </row>
    <row r="72" spans="1:8" x14ac:dyDescent="0.25">
      <c r="A72" t="s">
        <v>240</v>
      </c>
      <c r="B72" t="s">
        <v>59</v>
      </c>
      <c r="C72" t="s">
        <v>90</v>
      </c>
      <c r="D72" s="10" t="str">
        <f>[1]肝胆外科!$O$4</f>
        <v>胆石症（胆囊结石、胆管结石）</v>
      </c>
      <c r="E72" s="10" t="str">
        <f>[1]肝胆外科!$I$4</f>
        <v>胆石症（胆囊结石、胆管结石）</v>
      </c>
      <c r="F72" s="10" t="str">
        <f>[1]肝胆外科!$C$4</f>
        <v>胆石症（胆囊结石、胆管结石）</v>
      </c>
      <c r="G72" t="s">
        <v>59</v>
      </c>
      <c r="H72" t="s">
        <v>59</v>
      </c>
    </row>
    <row r="73" spans="1:8" x14ac:dyDescent="0.25">
      <c r="A73" t="s">
        <v>241</v>
      </c>
      <c r="B73" t="s">
        <v>59</v>
      </c>
      <c r="C73" t="s">
        <v>90</v>
      </c>
      <c r="D73" s="10" t="str">
        <f>[1]肝胆外科!$N$4</f>
        <v>K80</v>
      </c>
      <c r="E73" s="10" t="str">
        <f>[1]肝胆外科!$H$4</f>
        <v>K80</v>
      </c>
      <c r="F73" s="10" t="str">
        <f>[1]肝胆外科!$B$4</f>
        <v>K80</v>
      </c>
      <c r="G73" t="s">
        <v>59</v>
      </c>
      <c r="H73" t="s">
        <v>59</v>
      </c>
    </row>
    <row r="74" spans="1:8" x14ac:dyDescent="0.25">
      <c r="A74" t="s">
        <v>242</v>
      </c>
      <c r="B74" t="s">
        <v>14</v>
      </c>
      <c r="C74" t="s">
        <v>90</v>
      </c>
      <c r="D74" s="10">
        <f>[1]肝胆外科!$Q$4</f>
        <v>30.404666423623802</v>
      </c>
      <c r="E74" s="10">
        <f>[1]肝胆外科!$K$4</f>
        <v>32.796934865900397</v>
      </c>
      <c r="F74" s="10">
        <f>[1]肝胆外科!$E$4</f>
        <v>31.1993171148101</v>
      </c>
      <c r="G74" t="s">
        <v>59</v>
      </c>
      <c r="H74" t="s">
        <v>59</v>
      </c>
    </row>
    <row r="75" spans="1:8" x14ac:dyDescent="0.25">
      <c r="A75" t="s">
        <v>243</v>
      </c>
      <c r="B75" t="s">
        <v>59</v>
      </c>
      <c r="C75" t="s">
        <v>90</v>
      </c>
      <c r="D75" s="10" t="str">
        <f>[1]肝胆外科!$O$5</f>
        <v>肝和肝内胆管恶性肿瘤</v>
      </c>
      <c r="E75" s="10" t="str">
        <f>[1]肝胆外科!$I$5</f>
        <v>肝和肝内胆管恶性肿瘤</v>
      </c>
      <c r="F75" s="10" t="str">
        <f>[1]肝胆外科!$C$5</f>
        <v>肝和肝内胆管恶性肿瘤</v>
      </c>
      <c r="G75" t="s">
        <v>59</v>
      </c>
      <c r="H75" t="s">
        <v>59</v>
      </c>
    </row>
    <row r="76" spans="1:8" x14ac:dyDescent="0.25">
      <c r="A76" t="s">
        <v>244</v>
      </c>
      <c r="B76" t="s">
        <v>59</v>
      </c>
      <c r="C76" t="s">
        <v>90</v>
      </c>
      <c r="D76" s="10" t="str">
        <f>[1]肝胆外科!$N$5</f>
        <v>C22</v>
      </c>
      <c r="E76" s="10" t="str">
        <f>[1]肝胆外科!$H$5</f>
        <v>C22</v>
      </c>
      <c r="F76" s="10" t="str">
        <f>[1]肝胆外科!$B$5</f>
        <v>C22</v>
      </c>
      <c r="G76" t="s">
        <v>59</v>
      </c>
      <c r="H76" t="s">
        <v>59</v>
      </c>
    </row>
    <row r="77" spans="1:8" x14ac:dyDescent="0.25">
      <c r="A77" t="s">
        <v>245</v>
      </c>
      <c r="B77" t="s">
        <v>14</v>
      </c>
      <c r="C77" t="s">
        <v>90</v>
      </c>
      <c r="D77" s="10">
        <f>[1]肝胆外科!$Q$5</f>
        <v>23.076923076923102</v>
      </c>
      <c r="E77" s="10">
        <f>[1]肝胆外科!$K$5</f>
        <v>22.375478927203101</v>
      </c>
      <c r="F77" s="10">
        <f>[1]肝胆外科!$E$5</f>
        <v>23.132735808792098</v>
      </c>
      <c r="G77" t="s">
        <v>59</v>
      </c>
      <c r="H77" t="s">
        <v>59</v>
      </c>
    </row>
    <row r="78" spans="1:8" x14ac:dyDescent="0.25">
      <c r="A78" t="s">
        <v>246</v>
      </c>
      <c r="B78" t="s">
        <v>59</v>
      </c>
      <c r="C78" t="s">
        <v>90</v>
      </c>
      <c r="D78" s="10" t="str">
        <f>[1]肝胆外科!$O$6</f>
        <v>为肿瘤化学治疗疗程</v>
      </c>
      <c r="E78" s="10" t="str">
        <f>[1]肝胆外科!$I$6</f>
        <v>为肿瘤化学治疗疗程</v>
      </c>
      <c r="F78" s="10" t="str">
        <f>[1]肝胆外科!$C$6</f>
        <v>为肿瘤化学治疗疗程</v>
      </c>
      <c r="G78" t="s">
        <v>59</v>
      </c>
      <c r="H78" t="s">
        <v>59</v>
      </c>
    </row>
    <row r="79" spans="1:8" x14ac:dyDescent="0.25">
      <c r="A79" t="s">
        <v>247</v>
      </c>
      <c r="B79" t="s">
        <v>59</v>
      </c>
      <c r="C79" t="s">
        <v>90</v>
      </c>
      <c r="D79" s="10" t="str">
        <f>[1]肝胆外科!$N$6</f>
        <v>Z51.1</v>
      </c>
      <c r="E79" s="10" t="str">
        <f>[1]肝胆外科!$H$6</f>
        <v>Z51.1</v>
      </c>
      <c r="F79" s="10" t="str">
        <f>[1]肝胆外科!$B$6</f>
        <v>Z51.1</v>
      </c>
      <c r="G79" t="s">
        <v>59</v>
      </c>
      <c r="H79" t="s">
        <v>59</v>
      </c>
    </row>
    <row r="80" spans="1:8" x14ac:dyDescent="0.25">
      <c r="A80" t="s">
        <v>248</v>
      </c>
      <c r="B80" t="s">
        <v>14</v>
      </c>
      <c r="C80" t="s">
        <v>90</v>
      </c>
      <c r="D80" s="10">
        <f>[1]肝胆外科!$Q$6</f>
        <v>8.6766314254465904</v>
      </c>
      <c r="E80" s="10">
        <f>[1]肝胆外科!$K$6</f>
        <v>6.2452107279693498</v>
      </c>
      <c r="F80" s="10">
        <f>[1]肝胆外科!$E$6</f>
        <v>4.9509176269739603</v>
      </c>
      <c r="G80" t="s">
        <v>59</v>
      </c>
      <c r="H80" t="s">
        <v>59</v>
      </c>
    </row>
    <row r="81" spans="1:8" x14ac:dyDescent="0.25">
      <c r="A81" t="s">
        <v>249</v>
      </c>
      <c r="B81" t="s">
        <v>59</v>
      </c>
      <c r="C81" t="s">
        <v>90</v>
      </c>
      <c r="D81" s="10" t="str">
        <f>[1]肝胆外科!$O$7</f>
        <v>急性胰腺炎</v>
      </c>
      <c r="E81" s="10" t="str">
        <f>[1]肝胆外科!$I$7</f>
        <v>胆道疾病</v>
      </c>
      <c r="F81" s="10" t="str">
        <f>[1]肝胆外科!$C$7</f>
        <v>急性胰腺炎</v>
      </c>
      <c r="G81" t="s">
        <v>59</v>
      </c>
      <c r="H81" t="s">
        <v>59</v>
      </c>
    </row>
    <row r="82" spans="1:8" x14ac:dyDescent="0.25">
      <c r="A82" t="s">
        <v>250</v>
      </c>
      <c r="B82" t="s">
        <v>59</v>
      </c>
      <c r="C82" t="s">
        <v>90</v>
      </c>
      <c r="D82" s="10" t="str">
        <f>[1]肝胆外科!$N$7</f>
        <v>K85</v>
      </c>
      <c r="E82" s="10" t="str">
        <f>[1]肝胆外科!$H$7</f>
        <v>K83</v>
      </c>
      <c r="F82" s="10" t="str">
        <f>[1]肝胆外科!$B$7</f>
        <v>K85</v>
      </c>
      <c r="G82" t="s">
        <v>59</v>
      </c>
      <c r="H82" t="s">
        <v>59</v>
      </c>
    </row>
    <row r="83" spans="1:8" x14ac:dyDescent="0.25">
      <c r="A83" t="s">
        <v>251</v>
      </c>
      <c r="B83" t="s">
        <v>14</v>
      </c>
      <c r="C83" t="s">
        <v>90</v>
      </c>
      <c r="D83" s="10">
        <f>[1]肝胆外科!$Q$7</f>
        <v>3.5727305869485999</v>
      </c>
      <c r="E83" s="10">
        <f>[1]肝胆外科!$K$7</f>
        <v>2.45210727969349</v>
      </c>
      <c r="F83" s="10">
        <f>[1]肝胆外科!$E$7</f>
        <v>3.9692701664532599</v>
      </c>
      <c r="G83" t="s">
        <v>59</v>
      </c>
      <c r="H83" t="s">
        <v>59</v>
      </c>
    </row>
    <row r="84" spans="1:8" x14ac:dyDescent="0.25">
      <c r="A84" t="s">
        <v>252</v>
      </c>
      <c r="B84" t="s">
        <v>59</v>
      </c>
      <c r="C84" t="s">
        <v>90</v>
      </c>
      <c r="D84" s="10" t="str">
        <f>[1]肝胆外科!$O$8</f>
        <v>胰恶性肿瘤</v>
      </c>
      <c r="E84" s="10" t="str">
        <f>[1]肝胆外科!$I$8</f>
        <v>胰恶性肿瘤</v>
      </c>
      <c r="F84" s="10" t="str">
        <f>[1]肝胆外科!$C$8</f>
        <v>肝脓肿</v>
      </c>
      <c r="G84" t="s">
        <v>59</v>
      </c>
      <c r="H84" t="s">
        <v>59</v>
      </c>
    </row>
    <row r="85" spans="1:8" x14ac:dyDescent="0.25">
      <c r="A85" t="s">
        <v>253</v>
      </c>
      <c r="B85" t="s">
        <v>59</v>
      </c>
      <c r="C85" t="s">
        <v>90</v>
      </c>
      <c r="D85" s="10" t="str">
        <f>[1]肝胆外科!$N$8</f>
        <v>C25</v>
      </c>
      <c r="E85" s="10" t="str">
        <f>[1]肝胆外科!$H$8</f>
        <v>C25</v>
      </c>
      <c r="F85" s="10" t="str">
        <f>[1]肝胆外科!$B$8</f>
        <v>K75.0</v>
      </c>
      <c r="G85" t="s">
        <v>59</v>
      </c>
      <c r="H85" t="s">
        <v>59</v>
      </c>
    </row>
    <row r="86" spans="1:8" x14ac:dyDescent="0.25">
      <c r="A86" t="s">
        <v>254</v>
      </c>
      <c r="B86" t="s">
        <v>14</v>
      </c>
      <c r="C86" t="s">
        <v>90</v>
      </c>
      <c r="D86" s="10">
        <f>[1]肝胆外科!$Q$8</f>
        <v>2.7342325920524999</v>
      </c>
      <c r="E86" s="10">
        <f>[1]肝胆外科!$K$8</f>
        <v>2.29885057471264</v>
      </c>
      <c r="F86" s="10">
        <f>[1]肝胆外科!$E$8</f>
        <v>1.92061459667093</v>
      </c>
      <c r="G86" t="s">
        <v>59</v>
      </c>
      <c r="H86" t="s">
        <v>59</v>
      </c>
    </row>
    <row r="87" spans="1:8" x14ac:dyDescent="0.25">
      <c r="A87" t="s">
        <v>255</v>
      </c>
      <c r="B87" t="s">
        <v>59</v>
      </c>
      <c r="C87" t="s">
        <v>90</v>
      </c>
      <c r="D87" s="22" t="str">
        <f>[2]肝胆外科!$O$4</f>
        <v>腹腔镜下胆囊切除术</v>
      </c>
      <c r="E87" s="22" t="str">
        <f>[2]肝胆外科!$I$4</f>
        <v>胆囊切除术，经腹腔镜</v>
      </c>
      <c r="F87" s="22" t="str">
        <f>[2]肝胆外科!$C$4</f>
        <v>胆囊切除术，经腹腔镜</v>
      </c>
      <c r="G87" t="s">
        <v>59</v>
      </c>
      <c r="H87" t="s">
        <v>59</v>
      </c>
    </row>
    <row r="88" spans="1:8" x14ac:dyDescent="0.25">
      <c r="A88" t="s">
        <v>256</v>
      </c>
      <c r="B88" t="s">
        <v>59</v>
      </c>
      <c r="C88" t="s">
        <v>90</v>
      </c>
      <c r="D88" s="23">
        <f>[2]肝胆外科!$N$4</f>
        <v>51.23</v>
      </c>
      <c r="E88" s="23">
        <f>[2]肝胆外科!$H$4</f>
        <v>51.23</v>
      </c>
      <c r="F88" s="23" t="str">
        <f>[2]肝胆外科!$B$4</f>
        <v>51.23</v>
      </c>
      <c r="G88" t="s">
        <v>59</v>
      </c>
      <c r="H88" t="s">
        <v>59</v>
      </c>
    </row>
    <row r="89" spans="1:8" x14ac:dyDescent="0.25">
      <c r="A89" t="s">
        <v>257</v>
      </c>
      <c r="B89" t="s">
        <v>14</v>
      </c>
      <c r="C89" t="s">
        <v>90</v>
      </c>
      <c r="D89" s="24">
        <f>[2]肝胆外科!$Q$4</f>
        <v>30.083144368858701</v>
      </c>
      <c r="E89" s="24">
        <f>[2]肝胆外科!$K$4</f>
        <v>28.463855421686699</v>
      </c>
      <c r="F89" s="24">
        <f>[2]肝胆外科!$E$4</f>
        <v>31.4384151593454</v>
      </c>
      <c r="G89" t="s">
        <v>59</v>
      </c>
      <c r="H89" t="s">
        <v>59</v>
      </c>
    </row>
    <row r="90" spans="1:8" x14ac:dyDescent="0.25">
      <c r="A90" t="s">
        <v>258</v>
      </c>
      <c r="B90" t="s">
        <v>59</v>
      </c>
      <c r="C90" t="s">
        <v>90</v>
      </c>
      <c r="D90" s="25" t="str">
        <f>[2]肝胆外科!$O$5</f>
        <v>经导管肝动脉栓塞术</v>
      </c>
      <c r="E90" s="25" t="str">
        <f>[2]肝胆外科!$I$5</f>
        <v>肝动脉腔内栓塞术</v>
      </c>
      <c r="F90" s="25" t="str">
        <f>[2]肝胆外科!$C$5</f>
        <v>肝动脉腔内栓塞术</v>
      </c>
      <c r="G90" t="s">
        <v>59</v>
      </c>
      <c r="H90" t="s">
        <v>59</v>
      </c>
    </row>
    <row r="91" spans="1:8" x14ac:dyDescent="0.25">
      <c r="A91" t="s">
        <v>259</v>
      </c>
      <c r="B91" t="s">
        <v>59</v>
      </c>
      <c r="C91" t="s">
        <v>90</v>
      </c>
      <c r="D91" s="26">
        <f>[2]肝胆外科!$N$5</f>
        <v>39.79</v>
      </c>
      <c r="E91" s="26">
        <f>[2]肝胆外科!$H$5</f>
        <v>39.79</v>
      </c>
      <c r="F91" s="26" t="str">
        <f>[2]肝胆外科!$B$5</f>
        <v>39.79</v>
      </c>
      <c r="G91" t="s">
        <v>59</v>
      </c>
      <c r="H91" t="s">
        <v>59</v>
      </c>
    </row>
    <row r="92" spans="1:8" x14ac:dyDescent="0.25">
      <c r="A92" t="s">
        <v>260</v>
      </c>
      <c r="B92" t="s">
        <v>14</v>
      </c>
      <c r="C92" t="s">
        <v>90</v>
      </c>
      <c r="D92" s="24">
        <f>[2]肝胆外科!$Q$5</f>
        <v>22.0710506424792</v>
      </c>
      <c r="E92" s="24">
        <f>[2]肝胆外科!$K$5</f>
        <v>22.891566265060199</v>
      </c>
      <c r="F92" s="24">
        <f>[2]肝胆外科!$E$5</f>
        <v>21.016365202411698</v>
      </c>
      <c r="G92" t="s">
        <v>59</v>
      </c>
      <c r="H92" t="s">
        <v>59</v>
      </c>
    </row>
    <row r="93" spans="1:8" x14ac:dyDescent="0.25">
      <c r="A93" t="s">
        <v>261</v>
      </c>
      <c r="B93" t="s">
        <v>59</v>
      </c>
      <c r="C93" t="s">
        <v>90</v>
      </c>
      <c r="D93" s="27" t="str">
        <f>[2]肝胆外科!$O$6</f>
        <v>腹腔镜下肝叶切除术</v>
      </c>
      <c r="E93" s="27" t="str">
        <f>[2]肝胆外科!$I$6</f>
        <v>胆总管切开取石伴T管引流术，经腹腔镜</v>
      </c>
      <c r="F93" s="27" t="str">
        <f>[2]肝胆外科!$C$6</f>
        <v>肝叶切除术（肝段切除术）</v>
      </c>
      <c r="G93" t="s">
        <v>59</v>
      </c>
      <c r="H93" t="s">
        <v>59</v>
      </c>
    </row>
    <row r="94" spans="1:8" x14ac:dyDescent="0.25">
      <c r="A94" t="s">
        <v>262</v>
      </c>
      <c r="B94" t="s">
        <v>59</v>
      </c>
      <c r="C94" t="s">
        <v>90</v>
      </c>
      <c r="D94" s="28" t="str">
        <f>[2]肝胆外科!$N$6</f>
        <v>50.3x</v>
      </c>
      <c r="E94" s="28">
        <f>[2]肝胆外科!$H$6</f>
        <v>51.88</v>
      </c>
      <c r="F94" s="28" t="str">
        <f>[2]肝胆外科!$B$6</f>
        <v>50.30</v>
      </c>
      <c r="G94" t="s">
        <v>59</v>
      </c>
      <c r="H94" t="s">
        <v>59</v>
      </c>
    </row>
    <row r="95" spans="1:8" x14ac:dyDescent="0.25">
      <c r="A95" t="s">
        <v>263</v>
      </c>
      <c r="B95" t="s">
        <v>14</v>
      </c>
      <c r="C95" t="s">
        <v>90</v>
      </c>
      <c r="D95" s="24">
        <f>[2]肝胆外科!$Q$6</f>
        <v>11.9425547996977</v>
      </c>
      <c r="E95" s="24">
        <f>[2]肝胆外科!$K$6</f>
        <v>14.0060240963855</v>
      </c>
      <c r="F95" s="24">
        <f>[2]肝胆外科!$E$6</f>
        <v>13.178294573643401</v>
      </c>
      <c r="G95" t="s">
        <v>59</v>
      </c>
      <c r="H95" t="s">
        <v>59</v>
      </c>
    </row>
    <row r="96" spans="1:8" x14ac:dyDescent="0.25">
      <c r="A96" t="s">
        <v>264</v>
      </c>
      <c r="B96" t="s">
        <v>59</v>
      </c>
      <c r="C96" t="s">
        <v>90</v>
      </c>
      <c r="D96" s="24" t="str">
        <f>[2]肝胆外科!$O$7</f>
        <v>腹腔镜下胆总管切开取石术</v>
      </c>
      <c r="E96" s="24" t="str">
        <f>[2]肝胆外科!$I$7</f>
        <v>肝叶切除术（肝段切除术）</v>
      </c>
      <c r="F96" s="24" t="str">
        <f>[2]肝胆外科!$C$7</f>
        <v>胆总管切开取石伴T管引流术，经腹腔镜</v>
      </c>
      <c r="G96" t="s">
        <v>59</v>
      </c>
      <c r="H96" t="s">
        <v>59</v>
      </c>
    </row>
    <row r="97" spans="1:8" x14ac:dyDescent="0.25">
      <c r="A97" t="s">
        <v>265</v>
      </c>
      <c r="B97" t="s">
        <v>59</v>
      </c>
      <c r="C97" t="s">
        <v>90</v>
      </c>
      <c r="D97" s="25">
        <f>[2]肝胆外科!$N$7</f>
        <v>51.88</v>
      </c>
      <c r="E97" s="25" t="str">
        <f>[2]肝胆外科!$H$7</f>
        <v>50.30</v>
      </c>
      <c r="F97" s="25" t="str">
        <f>[2]肝胆外科!$B$7</f>
        <v>51.88</v>
      </c>
      <c r="G97" t="s">
        <v>59</v>
      </c>
      <c r="H97" t="s">
        <v>59</v>
      </c>
    </row>
    <row r="98" spans="1:8" x14ac:dyDescent="0.25">
      <c r="A98" t="s">
        <v>266</v>
      </c>
      <c r="B98" t="s">
        <v>14</v>
      </c>
      <c r="C98" t="s">
        <v>90</v>
      </c>
      <c r="D98" s="26">
        <f>[2]肝胆外科!$Q$7</f>
        <v>11.4890400604686</v>
      </c>
      <c r="E98" s="26">
        <f>[2]肝胆外科!$K$7</f>
        <v>11.972891566265099</v>
      </c>
      <c r="F98" s="26">
        <f>[2]肝胆外科!$E$7</f>
        <v>10.077519379845</v>
      </c>
      <c r="G98" t="s">
        <v>59</v>
      </c>
      <c r="H98" t="s">
        <v>59</v>
      </c>
    </row>
    <row r="99" spans="1:8" x14ac:dyDescent="0.25">
      <c r="A99" t="s">
        <v>267</v>
      </c>
      <c r="B99" t="s">
        <v>59</v>
      </c>
      <c r="C99" t="s">
        <v>90</v>
      </c>
      <c r="D99" s="24" t="str">
        <f>[2]肝胆外科!$O$8</f>
        <v>腹腔镜下肝部分切除术</v>
      </c>
      <c r="E99" s="24" t="str">
        <f>[2]肝胆外科!$I$8</f>
        <v>胆总管切开取石T管引流术</v>
      </c>
      <c r="F99" s="24" t="str">
        <f>[2]肝胆外科!$C$8</f>
        <v>胆总管切开取石T管引流术</v>
      </c>
      <c r="G99" t="s">
        <v>59</v>
      </c>
      <c r="H99" t="s">
        <v>59</v>
      </c>
    </row>
    <row r="100" spans="1:8" x14ac:dyDescent="0.25">
      <c r="A100" t="s">
        <v>268</v>
      </c>
      <c r="B100" t="s">
        <v>59</v>
      </c>
      <c r="C100" t="s">
        <v>90</v>
      </c>
      <c r="D100" s="10">
        <f>[2]肝胆外科!$N$8</f>
        <v>50.22</v>
      </c>
      <c r="E100" s="10">
        <f>[2]肝胆外科!$H$8</f>
        <v>51.41</v>
      </c>
      <c r="F100" s="10" t="str">
        <f>[2]肝胆外科!$B$8</f>
        <v>51.41</v>
      </c>
      <c r="G100" t="s">
        <v>59</v>
      </c>
      <c r="H100" t="s">
        <v>59</v>
      </c>
    </row>
    <row r="101" spans="1:8" x14ac:dyDescent="0.25">
      <c r="A101" t="s">
        <v>269</v>
      </c>
      <c r="B101" t="s">
        <v>14</v>
      </c>
      <c r="C101" t="s">
        <v>90</v>
      </c>
      <c r="D101" s="10">
        <f>[2]肝胆外科!$Q$8</f>
        <v>5.3665910808768</v>
      </c>
      <c r="E101" s="10">
        <f>[2]肝胆外科!$K$8</f>
        <v>3.0873493975903599</v>
      </c>
      <c r="F101" s="10">
        <f>[2]肝胆外科!$E$8</f>
        <v>3.7898363479758799</v>
      </c>
      <c r="G101" t="s">
        <v>59</v>
      </c>
      <c r="H101" t="s">
        <v>59</v>
      </c>
    </row>
  </sheetData>
  <phoneticPr fontId="10" type="noConversion"/>
  <conditionalFormatting sqref="D88">
    <cfRule type="duplicateValues" dxfId="143" priority="12"/>
  </conditionalFormatting>
  <conditionalFormatting sqref="E88">
    <cfRule type="duplicateValues" dxfId="142" priority="4"/>
  </conditionalFormatting>
  <conditionalFormatting sqref="F88">
    <cfRule type="duplicateValues" dxfId="141" priority="8"/>
  </conditionalFormatting>
  <conditionalFormatting sqref="D91">
    <cfRule type="duplicateValues" dxfId="140" priority="11"/>
  </conditionalFormatting>
  <conditionalFormatting sqref="E91">
    <cfRule type="duplicateValues" dxfId="139" priority="3"/>
  </conditionalFormatting>
  <conditionalFormatting sqref="F91">
    <cfRule type="duplicateValues" dxfId="138" priority="7"/>
  </conditionalFormatting>
  <conditionalFormatting sqref="D94">
    <cfRule type="duplicateValues" dxfId="137" priority="9"/>
  </conditionalFormatting>
  <conditionalFormatting sqref="E94">
    <cfRule type="duplicateValues" dxfId="136" priority="1"/>
  </conditionalFormatting>
  <conditionalFormatting sqref="F94">
    <cfRule type="duplicateValues" dxfId="135" priority="5"/>
  </conditionalFormatting>
  <conditionalFormatting sqref="D98">
    <cfRule type="duplicateValues" dxfId="134" priority="10"/>
  </conditionalFormatting>
  <conditionalFormatting sqref="E98">
    <cfRule type="duplicateValues" dxfId="133" priority="2"/>
  </conditionalFormatting>
  <conditionalFormatting sqref="F98">
    <cfRule type="duplicateValues" dxfId="132" priority="6"/>
  </conditionalFormatting>
  <pageMargins left="0.69930555555555596" right="0.69930555555555596" top="0.75" bottom="0.75" header="0.3" footer="0.3"/>
  <ignoredErrors>
    <ignoredError sqref="A2:B31 G21:H31 G2:H5 G6:H14 G15:H15 G16:H17 G18:H20 G34:H57 G58:H59 G60:H71 G72:H86 G87:H101 A34:B101 A1:H1"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101"/>
  <sheetViews>
    <sheetView topLeftCell="A20" workbookViewId="0">
      <selection activeCell="D33" sqref="D33:F33"/>
    </sheetView>
  </sheetViews>
  <sheetFormatPr defaultColWidth="9" defaultRowHeight="15" x14ac:dyDescent="0.25"/>
  <cols>
    <col min="1" max="1" width="28" customWidth="1"/>
    <col min="2" max="2" width="11" customWidth="1"/>
    <col min="3" max="3" width="9" customWidth="1"/>
    <col min="4" max="4" width="12.08203125" customWidth="1"/>
    <col min="5" max="5" width="10" customWidth="1"/>
    <col min="6" max="6" width="11.5"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72.116955243384496</v>
      </c>
      <c r="E2" s="5">
        <v>66.586404889794395</v>
      </c>
      <c r="F2" s="5">
        <v>58.817685047193201</v>
      </c>
      <c r="G2" t="s">
        <v>16</v>
      </c>
      <c r="H2" t="s">
        <v>17</v>
      </c>
    </row>
    <row r="3" spans="1:8" x14ac:dyDescent="0.25">
      <c r="A3" t="s">
        <v>18</v>
      </c>
      <c r="B3" t="s">
        <v>14</v>
      </c>
      <c r="C3" t="s">
        <v>15</v>
      </c>
      <c r="D3" s="5">
        <v>38.437146092865198</v>
      </c>
      <c r="E3" s="5">
        <v>45.785813630041702</v>
      </c>
      <c r="F3" s="5">
        <v>48.902027027027003</v>
      </c>
      <c r="G3" t="s">
        <v>19</v>
      </c>
      <c r="H3" t="s">
        <v>20</v>
      </c>
    </row>
    <row r="4" spans="1:8" x14ac:dyDescent="0.25">
      <c r="A4" t="s">
        <v>21</v>
      </c>
      <c r="B4" t="s">
        <v>14</v>
      </c>
      <c r="C4" t="s">
        <v>15</v>
      </c>
      <c r="D4" s="5">
        <v>10.4869762174405</v>
      </c>
      <c r="E4" s="5">
        <v>7.6216968011126598</v>
      </c>
      <c r="F4" s="5">
        <v>6.5596846846846804</v>
      </c>
      <c r="G4" t="s">
        <v>22</v>
      </c>
      <c r="H4" t="s">
        <v>23</v>
      </c>
    </row>
    <row r="5" spans="1:8" x14ac:dyDescent="0.25">
      <c r="A5" t="s">
        <v>24</v>
      </c>
      <c r="B5" t="s">
        <v>14</v>
      </c>
      <c r="C5" t="s">
        <v>15</v>
      </c>
      <c r="D5" s="6">
        <v>91.13</v>
      </c>
      <c r="E5" s="6">
        <v>93.71</v>
      </c>
      <c r="F5" s="6">
        <v>91.525000000000006</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0.34</v>
      </c>
      <c r="E10" s="6">
        <v>0.28000000000000003</v>
      </c>
      <c r="F10" s="6">
        <v>0.37</v>
      </c>
      <c r="G10" t="s">
        <v>58</v>
      </c>
      <c r="H10" t="s">
        <v>59</v>
      </c>
    </row>
    <row r="11" spans="1:8" x14ac:dyDescent="0.25">
      <c r="A11" t="s">
        <v>63</v>
      </c>
      <c r="B11" t="s">
        <v>64</v>
      </c>
      <c r="C11" t="s">
        <v>61</v>
      </c>
      <c r="D11" s="39">
        <v>90.28</v>
      </c>
      <c r="E11" s="39">
        <v>84.94</v>
      </c>
      <c r="F11" s="39">
        <v>79.91</v>
      </c>
      <c r="G11" t="s">
        <v>35</v>
      </c>
      <c r="H11" t="s">
        <v>65</v>
      </c>
    </row>
    <row r="12" spans="1:8" x14ac:dyDescent="0.25">
      <c r="A12" t="s">
        <v>66</v>
      </c>
      <c r="B12" t="s">
        <v>14</v>
      </c>
      <c r="C12" t="s">
        <v>61</v>
      </c>
      <c r="D12" s="6">
        <v>69.11</v>
      </c>
      <c r="E12" s="6">
        <v>37.96</v>
      </c>
      <c r="F12" s="6">
        <v>48.28</v>
      </c>
      <c r="G12" t="s">
        <v>39</v>
      </c>
      <c r="H12" t="s">
        <v>67</v>
      </c>
    </row>
    <row r="13" spans="1:8" x14ac:dyDescent="0.25">
      <c r="A13" t="s">
        <v>68</v>
      </c>
      <c r="B13" t="s">
        <v>14</v>
      </c>
      <c r="C13" t="s">
        <v>61</v>
      </c>
      <c r="D13" s="40">
        <v>97.13</v>
      </c>
      <c r="E13" s="40">
        <v>93.91</v>
      </c>
      <c r="F13" s="40">
        <v>86.08</v>
      </c>
      <c r="G13" t="s">
        <v>39</v>
      </c>
      <c r="H13" t="s">
        <v>69</v>
      </c>
    </row>
    <row r="14" spans="1:8" x14ac:dyDescent="0.25">
      <c r="A14" t="s">
        <v>74</v>
      </c>
      <c r="B14" t="s">
        <v>14</v>
      </c>
      <c r="C14" t="s">
        <v>75</v>
      </c>
      <c r="D14" s="18">
        <f>(145720+7500)/31522709*100</f>
        <v>0.48606228608080604</v>
      </c>
      <c r="E14" s="36">
        <v>0</v>
      </c>
      <c r="F14" s="36">
        <v>0</v>
      </c>
      <c r="G14" t="s">
        <v>35</v>
      </c>
      <c r="H14" t="s">
        <v>76</v>
      </c>
    </row>
    <row r="15" spans="1:8" x14ac:dyDescent="0.25">
      <c r="A15" t="s">
        <v>91</v>
      </c>
      <c r="B15" t="s">
        <v>92</v>
      </c>
      <c r="C15" t="s">
        <v>15</v>
      </c>
      <c r="D15" s="5">
        <v>6.085</v>
      </c>
      <c r="E15" s="5">
        <v>7.27</v>
      </c>
      <c r="F15" s="5">
        <v>7.8949999999999996</v>
      </c>
      <c r="G15" t="s">
        <v>93</v>
      </c>
      <c r="H15" t="s">
        <v>94</v>
      </c>
    </row>
    <row r="16" spans="1:8" x14ac:dyDescent="0.25">
      <c r="A16" t="s">
        <v>95</v>
      </c>
      <c r="B16" t="s">
        <v>59</v>
      </c>
      <c r="C16" t="s">
        <v>34</v>
      </c>
      <c r="D16" s="5">
        <v>1.2749999999999999</v>
      </c>
      <c r="E16" s="5">
        <v>1.33</v>
      </c>
      <c r="F16" s="5">
        <v>1.3149999999999999</v>
      </c>
      <c r="G16" t="s">
        <v>96</v>
      </c>
      <c r="H16" t="s">
        <v>59</v>
      </c>
    </row>
    <row r="17" spans="1:8" x14ac:dyDescent="0.25">
      <c r="A17" t="s">
        <v>97</v>
      </c>
      <c r="B17" t="s">
        <v>98</v>
      </c>
      <c r="C17" t="s">
        <v>34</v>
      </c>
      <c r="D17" s="6">
        <v>104</v>
      </c>
      <c r="E17" s="6">
        <v>95</v>
      </c>
      <c r="F17" s="6">
        <v>93</v>
      </c>
      <c r="G17" t="s">
        <v>99</v>
      </c>
      <c r="H17" t="s">
        <v>59</v>
      </c>
    </row>
    <row r="18" spans="1:8" x14ac:dyDescent="0.25">
      <c r="A18" t="s">
        <v>104</v>
      </c>
      <c r="B18" t="s">
        <v>105</v>
      </c>
      <c r="C18" t="s">
        <v>15</v>
      </c>
      <c r="D18" s="6">
        <v>112</v>
      </c>
      <c r="E18" s="6">
        <v>112</v>
      </c>
      <c r="F18" s="6">
        <v>112</v>
      </c>
      <c r="G18" t="s">
        <v>58</v>
      </c>
      <c r="H18" t="s">
        <v>59</v>
      </c>
    </row>
    <row r="19" spans="1:8" x14ac:dyDescent="0.25">
      <c r="A19" t="s">
        <v>106</v>
      </c>
      <c r="B19" t="s">
        <v>105</v>
      </c>
      <c r="C19" t="s">
        <v>15</v>
      </c>
      <c r="D19" s="6">
        <v>117</v>
      </c>
      <c r="E19" s="6">
        <v>112</v>
      </c>
      <c r="F19" s="6">
        <v>120</v>
      </c>
      <c r="G19" t="s">
        <v>58</v>
      </c>
      <c r="H19" t="s">
        <v>59</v>
      </c>
    </row>
    <row r="20" spans="1:8" x14ac:dyDescent="0.25">
      <c r="A20" t="s">
        <v>107</v>
      </c>
      <c r="B20" t="s">
        <v>14</v>
      </c>
      <c r="C20" t="s">
        <v>15</v>
      </c>
      <c r="D20" s="5">
        <v>91.13</v>
      </c>
      <c r="E20" s="5">
        <v>89.814999999999998</v>
      </c>
      <c r="F20" s="5">
        <v>108.125</v>
      </c>
      <c r="G20" t="s">
        <v>58</v>
      </c>
      <c r="H20" t="s">
        <v>108</v>
      </c>
    </row>
    <row r="21" spans="1:8" x14ac:dyDescent="0.25">
      <c r="A21" t="s">
        <v>112</v>
      </c>
      <c r="B21" t="s">
        <v>59</v>
      </c>
      <c r="C21" t="s">
        <v>102</v>
      </c>
      <c r="D21" s="5">
        <f t="shared" ref="D21:F21" si="0">D43/D19</f>
        <v>0.1623931623931624</v>
      </c>
      <c r="E21" s="5">
        <f t="shared" si="0"/>
        <v>0.16964285714285715</v>
      </c>
      <c r="F21" s="5">
        <f t="shared" si="0"/>
        <v>0.16666666666666666</v>
      </c>
      <c r="G21" t="s">
        <v>110</v>
      </c>
      <c r="H21" t="s">
        <v>113</v>
      </c>
    </row>
    <row r="22" spans="1:8" x14ac:dyDescent="0.25">
      <c r="A22" t="s">
        <v>114</v>
      </c>
      <c r="B22" t="s">
        <v>59</v>
      </c>
      <c r="C22" t="s">
        <v>102</v>
      </c>
      <c r="D22" s="5">
        <f t="shared" ref="D22:F22" si="1">D44/D19</f>
        <v>0.46153846153846156</v>
      </c>
      <c r="E22" s="5">
        <f t="shared" si="1"/>
        <v>0.5</v>
      </c>
      <c r="F22" s="5">
        <f t="shared" si="1"/>
        <v>0.47499999999999998</v>
      </c>
      <c r="G22" t="s">
        <v>110</v>
      </c>
      <c r="H22" t="s">
        <v>115</v>
      </c>
    </row>
    <row r="23" spans="1:8" x14ac:dyDescent="0.25">
      <c r="A23" t="s">
        <v>116</v>
      </c>
      <c r="B23" t="s">
        <v>117</v>
      </c>
      <c r="C23" t="s">
        <v>118</v>
      </c>
      <c r="D23" s="5">
        <v>46.982937328947401</v>
      </c>
      <c r="E23" s="5">
        <v>43.474410077922101</v>
      </c>
      <c r="F23" s="5">
        <v>43.6945433461538</v>
      </c>
      <c r="G23" t="s">
        <v>119</v>
      </c>
      <c r="H23" t="s">
        <v>59</v>
      </c>
    </row>
    <row r="24" spans="1:8" x14ac:dyDescent="0.25">
      <c r="A24" t="s">
        <v>120</v>
      </c>
      <c r="B24" t="s">
        <v>117</v>
      </c>
      <c r="C24" t="s">
        <v>118</v>
      </c>
      <c r="D24" s="5">
        <v>74.069871434210498</v>
      </c>
      <c r="E24" s="5">
        <v>65.985212662337702</v>
      </c>
      <c r="F24" s="5">
        <v>67.417404833333293</v>
      </c>
      <c r="G24" t="s">
        <v>121</v>
      </c>
      <c r="H24" t="s">
        <v>59</v>
      </c>
    </row>
    <row r="25" spans="1:8" x14ac:dyDescent="0.25">
      <c r="A25" t="s">
        <v>122</v>
      </c>
      <c r="B25" t="s">
        <v>117</v>
      </c>
      <c r="C25" t="s">
        <v>118</v>
      </c>
      <c r="D25" s="5">
        <v>30.9526979628987</v>
      </c>
      <c r="E25" s="5">
        <v>28.6947503514487</v>
      </c>
      <c r="F25" s="5">
        <v>28.401453175</v>
      </c>
      <c r="G25" t="s">
        <v>123</v>
      </c>
      <c r="H25" t="s">
        <v>59</v>
      </c>
    </row>
    <row r="26" spans="1:8" x14ac:dyDescent="0.25">
      <c r="A26" t="s">
        <v>124</v>
      </c>
      <c r="B26" t="s">
        <v>117</v>
      </c>
      <c r="C26" t="s">
        <v>118</v>
      </c>
      <c r="D26" s="5">
        <v>48.797765507975001</v>
      </c>
      <c r="E26" s="5">
        <v>43.5527290845191</v>
      </c>
      <c r="F26" s="5">
        <v>43.8213131416667</v>
      </c>
      <c r="G26" t="s">
        <v>125</v>
      </c>
      <c r="H26" t="s">
        <v>59</v>
      </c>
    </row>
    <row r="27" spans="1:8" x14ac:dyDescent="0.25">
      <c r="A27" t="s">
        <v>126</v>
      </c>
      <c r="B27" t="s">
        <v>127</v>
      </c>
      <c r="C27" t="s">
        <v>118</v>
      </c>
      <c r="D27" s="5">
        <v>5.1346791636625797</v>
      </c>
      <c r="E27" s="5">
        <v>5.5299206921413102</v>
      </c>
      <c r="F27" s="5">
        <v>6.48739726027397</v>
      </c>
      <c r="G27" t="s">
        <v>39</v>
      </c>
      <c r="H27" t="s">
        <v>128</v>
      </c>
    </row>
    <row r="28" spans="1:8" x14ac:dyDescent="0.25">
      <c r="A28" t="s">
        <v>129</v>
      </c>
      <c r="B28" t="s">
        <v>14</v>
      </c>
      <c r="C28" t="s">
        <v>118</v>
      </c>
      <c r="D28" s="5">
        <v>46.670286539438699</v>
      </c>
      <c r="E28" s="5">
        <v>47.589538064682799</v>
      </c>
      <c r="F28" s="5">
        <v>44.241646688928903</v>
      </c>
      <c r="G28" t="s">
        <v>130</v>
      </c>
      <c r="H28" t="s">
        <v>131</v>
      </c>
    </row>
    <row r="29" spans="1:8" x14ac:dyDescent="0.25">
      <c r="A29" t="s">
        <v>132</v>
      </c>
      <c r="B29" t="s">
        <v>117</v>
      </c>
      <c r="C29" t="s">
        <v>118</v>
      </c>
      <c r="D29" s="5">
        <v>7650.9134649999996</v>
      </c>
      <c r="E29" s="5">
        <v>7034.17119</v>
      </c>
      <c r="F29" s="5">
        <v>7703.5432360000004</v>
      </c>
      <c r="G29" t="s">
        <v>59</v>
      </c>
      <c r="H29" t="s">
        <v>133</v>
      </c>
    </row>
    <row r="30" spans="1:8" x14ac:dyDescent="0.25">
      <c r="A30" t="s">
        <v>134</v>
      </c>
      <c r="B30" t="s">
        <v>117</v>
      </c>
      <c r="C30" t="s">
        <v>118</v>
      </c>
      <c r="D30" s="5">
        <v>3570.7032370000002</v>
      </c>
      <c r="E30" s="5">
        <v>3347.5295759999999</v>
      </c>
      <c r="F30" s="5">
        <v>3408.1743809999998</v>
      </c>
      <c r="G30" t="s">
        <v>59</v>
      </c>
      <c r="H30" t="s">
        <v>59</v>
      </c>
    </row>
    <row r="31" spans="1:8" x14ac:dyDescent="0.25">
      <c r="A31" t="s">
        <v>135</v>
      </c>
      <c r="B31" t="s">
        <v>117</v>
      </c>
      <c r="C31" t="s">
        <v>118</v>
      </c>
      <c r="D31" s="5">
        <v>5629.3102289999997</v>
      </c>
      <c r="E31" s="5">
        <v>5080.8613750000004</v>
      </c>
      <c r="F31" s="5">
        <v>5258.5575769999996</v>
      </c>
      <c r="G31" t="s">
        <v>59</v>
      </c>
      <c r="H31" t="s">
        <v>136</v>
      </c>
    </row>
    <row r="32" spans="1:8" x14ac:dyDescent="0.25">
      <c r="A32" t="s">
        <v>216</v>
      </c>
      <c r="B32" t="s">
        <v>117</v>
      </c>
      <c r="D32" s="17">
        <v>4393.21</v>
      </c>
      <c r="E32" s="17">
        <v>3725.83</v>
      </c>
      <c r="F32" s="17">
        <v>4112.7</v>
      </c>
    </row>
    <row r="33" spans="1:8" x14ac:dyDescent="0.25">
      <c r="A33" t="s">
        <v>143</v>
      </c>
      <c r="B33" t="s">
        <v>14</v>
      </c>
      <c r="D33" s="15">
        <v>18.170000000000002</v>
      </c>
      <c r="E33" s="15">
        <v>14.16</v>
      </c>
      <c r="F33" s="15">
        <v>17.670000000000002</v>
      </c>
    </row>
    <row r="34" spans="1:8" x14ac:dyDescent="0.25">
      <c r="A34" t="s">
        <v>137</v>
      </c>
      <c r="B34" t="s">
        <v>138</v>
      </c>
      <c r="C34" t="s">
        <v>139</v>
      </c>
      <c r="D34" s="6"/>
      <c r="E34" s="6"/>
      <c r="F34" s="6"/>
      <c r="G34" t="s">
        <v>35</v>
      </c>
      <c r="H34" t="s">
        <v>140</v>
      </c>
    </row>
    <row r="35" spans="1:8" x14ac:dyDescent="0.25">
      <c r="A35" t="s">
        <v>217</v>
      </c>
      <c r="B35" t="s">
        <v>14</v>
      </c>
      <c r="C35" t="s">
        <v>118</v>
      </c>
      <c r="D35" s="11">
        <v>18.195411023381599</v>
      </c>
      <c r="E35" s="11">
        <v>15.3075166628124</v>
      </c>
      <c r="F35" s="11">
        <v>10.253408526465799</v>
      </c>
      <c r="G35" t="s">
        <v>22</v>
      </c>
      <c r="H35" t="s">
        <v>218</v>
      </c>
    </row>
    <row r="36" spans="1:8" x14ac:dyDescent="0.25">
      <c r="A36" t="s">
        <v>219</v>
      </c>
      <c r="B36" t="s">
        <v>14</v>
      </c>
      <c r="C36" t="s">
        <v>118</v>
      </c>
      <c r="D36" s="11">
        <v>81.804588976618405</v>
      </c>
      <c r="E36" s="11">
        <v>84.692483337187596</v>
      </c>
      <c r="F36" s="11">
        <v>89.746591473534195</v>
      </c>
      <c r="G36" t="s">
        <v>22</v>
      </c>
      <c r="H36" t="s">
        <v>220</v>
      </c>
    </row>
    <row r="37" spans="1:8" x14ac:dyDescent="0.25">
      <c r="A37" t="s">
        <v>144</v>
      </c>
      <c r="B37" t="s">
        <v>14</v>
      </c>
      <c r="C37" t="s">
        <v>118</v>
      </c>
      <c r="D37" s="11">
        <v>8.7678030338070201</v>
      </c>
      <c r="E37" s="11">
        <v>-8.6891450530439904</v>
      </c>
      <c r="F37" s="11">
        <v>5.7525215350856103</v>
      </c>
      <c r="G37" t="s">
        <v>35</v>
      </c>
      <c r="H37" t="s">
        <v>145</v>
      </c>
    </row>
    <row r="38" spans="1:8" x14ac:dyDescent="0.25">
      <c r="A38" t="s">
        <v>146</v>
      </c>
      <c r="B38" t="s">
        <v>14</v>
      </c>
      <c r="C38" t="s">
        <v>118</v>
      </c>
      <c r="D38" s="11">
        <v>13.298317619649801</v>
      </c>
      <c r="E38" s="11">
        <v>36.411286387166101</v>
      </c>
      <c r="F38" s="11">
        <v>-2.2918744106051201</v>
      </c>
      <c r="G38" t="s">
        <v>35</v>
      </c>
      <c r="H38" t="s">
        <v>147</v>
      </c>
    </row>
    <row r="39" spans="1:8" x14ac:dyDescent="0.25">
      <c r="A39" t="s">
        <v>148</v>
      </c>
      <c r="B39" t="s">
        <v>14</v>
      </c>
      <c r="C39" t="s">
        <v>118</v>
      </c>
      <c r="D39" s="11">
        <v>17.451370278511099</v>
      </c>
      <c r="E39" s="11">
        <v>-23.054086701421099</v>
      </c>
      <c r="F39" s="11">
        <v>-4.2197080890961601E-2</v>
      </c>
      <c r="G39" t="s">
        <v>35</v>
      </c>
      <c r="H39" t="s">
        <v>149</v>
      </c>
    </row>
    <row r="40" spans="1:8" x14ac:dyDescent="0.25">
      <c r="A40" t="s">
        <v>150</v>
      </c>
      <c r="B40" t="s">
        <v>14</v>
      </c>
      <c r="C40" t="s">
        <v>118</v>
      </c>
      <c r="D40" s="11">
        <v>24.098983123124398</v>
      </c>
      <c r="E40" s="11">
        <v>117.85482812079501</v>
      </c>
      <c r="F40" s="11">
        <v>-8.8789391657910794</v>
      </c>
      <c r="G40" t="s">
        <v>35</v>
      </c>
      <c r="H40" t="s">
        <v>151</v>
      </c>
    </row>
    <row r="41" spans="1:8" x14ac:dyDescent="0.25">
      <c r="A41" t="s">
        <v>152</v>
      </c>
      <c r="B41" t="s">
        <v>14</v>
      </c>
      <c r="C41" t="s">
        <v>118</v>
      </c>
      <c r="D41" s="11">
        <v>-2.5053486663985698</v>
      </c>
      <c r="E41" s="11">
        <v>-43.133090904210398</v>
      </c>
      <c r="F41" s="11">
        <v>-3.7831584955805901</v>
      </c>
      <c r="G41" t="s">
        <v>35</v>
      </c>
      <c r="H41" t="s">
        <v>153</v>
      </c>
    </row>
    <row r="42" spans="1:8" x14ac:dyDescent="0.25">
      <c r="A42" t="s">
        <v>164</v>
      </c>
      <c r="B42" t="s">
        <v>59</v>
      </c>
      <c r="C42" t="s">
        <v>102</v>
      </c>
      <c r="D42" s="6">
        <v>0.35</v>
      </c>
      <c r="E42" s="6">
        <v>0.34</v>
      </c>
      <c r="F42" s="6">
        <v>0.35</v>
      </c>
      <c r="G42" t="s">
        <v>165</v>
      </c>
      <c r="H42" t="s">
        <v>166</v>
      </c>
    </row>
    <row r="43" spans="1:8" x14ac:dyDescent="0.25">
      <c r="A43" t="s">
        <v>167</v>
      </c>
      <c r="B43" t="s">
        <v>101</v>
      </c>
      <c r="C43" t="s">
        <v>102</v>
      </c>
      <c r="D43" s="6">
        <v>19</v>
      </c>
      <c r="E43" s="6">
        <v>19</v>
      </c>
      <c r="F43" s="6">
        <v>20</v>
      </c>
      <c r="G43" t="s">
        <v>168</v>
      </c>
      <c r="H43" t="s">
        <v>59</v>
      </c>
    </row>
    <row r="44" spans="1:8" x14ac:dyDescent="0.25">
      <c r="A44" t="s">
        <v>169</v>
      </c>
      <c r="B44" t="s">
        <v>101</v>
      </c>
      <c r="C44" t="s">
        <v>102</v>
      </c>
      <c r="D44" s="6">
        <v>54</v>
      </c>
      <c r="E44" s="6">
        <v>56</v>
      </c>
      <c r="F44" s="6">
        <v>57</v>
      </c>
      <c r="G44" t="s">
        <v>168</v>
      </c>
      <c r="H44" t="s">
        <v>59</v>
      </c>
    </row>
    <row r="45" spans="1:8" x14ac:dyDescent="0.25">
      <c r="A45" t="s">
        <v>221</v>
      </c>
      <c r="B45" t="s">
        <v>14</v>
      </c>
      <c r="C45" t="s">
        <v>102</v>
      </c>
      <c r="D45" s="6">
        <v>47.37</v>
      </c>
      <c r="E45" s="6">
        <v>47.37</v>
      </c>
      <c r="F45" s="6">
        <v>40</v>
      </c>
      <c r="G45" t="s">
        <v>59</v>
      </c>
      <c r="H45" t="s">
        <v>222</v>
      </c>
    </row>
    <row r="46" spans="1:8" x14ac:dyDescent="0.25">
      <c r="A46" t="s">
        <v>223</v>
      </c>
      <c r="B46" t="s">
        <v>14</v>
      </c>
      <c r="C46" t="s">
        <v>102</v>
      </c>
      <c r="D46" s="6">
        <v>5.26</v>
      </c>
      <c r="E46" s="6">
        <v>10.53</v>
      </c>
      <c r="F46" s="6">
        <v>10</v>
      </c>
      <c r="G46" t="s">
        <v>59</v>
      </c>
      <c r="H46" t="s">
        <v>224</v>
      </c>
    </row>
    <row r="47" spans="1:8" x14ac:dyDescent="0.25">
      <c r="A47" t="s">
        <v>225</v>
      </c>
      <c r="B47" t="s">
        <v>14</v>
      </c>
      <c r="C47" t="s">
        <v>102</v>
      </c>
      <c r="D47" s="6">
        <v>73.680000000000007</v>
      </c>
      <c r="E47" s="6">
        <v>68.42</v>
      </c>
      <c r="F47" s="6">
        <v>65</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11">
        <v>1.3698999999999999E-2</v>
      </c>
      <c r="E50" s="11">
        <v>0</v>
      </c>
      <c r="F50" s="11">
        <v>1.2987E-2</v>
      </c>
      <c r="G50" t="s">
        <v>191</v>
      </c>
      <c r="H50" t="s">
        <v>194</v>
      </c>
    </row>
    <row r="51" spans="1:8" x14ac:dyDescent="0.25">
      <c r="A51" t="s">
        <v>195</v>
      </c>
      <c r="B51" t="s">
        <v>196</v>
      </c>
      <c r="C51" t="s">
        <v>176</v>
      </c>
      <c r="D51" s="5">
        <v>41095.890410958898</v>
      </c>
      <c r="E51" s="5">
        <v>0</v>
      </c>
      <c r="F51" s="5">
        <v>12987.012987013</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5.2999999999999999E-2</v>
      </c>
      <c r="E54" s="6">
        <v>0</v>
      </c>
      <c r="F54" s="6">
        <v>0</v>
      </c>
      <c r="G54" t="s">
        <v>205</v>
      </c>
      <c r="H54" t="s">
        <v>59</v>
      </c>
    </row>
    <row r="55" spans="1:8" x14ac:dyDescent="0.25">
      <c r="A55" t="s">
        <v>206</v>
      </c>
      <c r="B55" t="s">
        <v>207</v>
      </c>
      <c r="C55" t="s">
        <v>176</v>
      </c>
      <c r="D55" s="6">
        <v>0.17199999999999999</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5.26</v>
      </c>
      <c r="E57" s="6">
        <v>5.26</v>
      </c>
      <c r="F57" s="6">
        <v>5</v>
      </c>
      <c r="G57" t="s">
        <v>59</v>
      </c>
      <c r="H57" t="s">
        <v>211</v>
      </c>
    </row>
    <row r="58" spans="1:8" x14ac:dyDescent="0.25">
      <c r="A58" t="s">
        <v>212</v>
      </c>
      <c r="B58" t="s">
        <v>14</v>
      </c>
      <c r="C58" t="s">
        <v>15</v>
      </c>
      <c r="D58" s="9">
        <v>3.3563075709915902</v>
      </c>
      <c r="E58" s="9">
        <v>3.4077202940278699</v>
      </c>
      <c r="F58" s="9">
        <v>3.4761726990447701</v>
      </c>
      <c r="G58" t="s">
        <v>59</v>
      </c>
      <c r="H58" t="s">
        <v>213</v>
      </c>
    </row>
    <row r="59" spans="1:8" x14ac:dyDescent="0.25">
      <c r="A59" t="s">
        <v>214</v>
      </c>
      <c r="B59" t="s">
        <v>14</v>
      </c>
      <c r="C59" t="s">
        <v>15</v>
      </c>
      <c r="D59" s="5">
        <v>1.0454099967330901</v>
      </c>
      <c r="E59" s="5">
        <v>1.7040192628264501</v>
      </c>
      <c r="F59" s="5">
        <v>1.8214936247723099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[1]泌尿外科!$O$4</f>
        <v>肾结石伴有积水和感染</v>
      </c>
      <c r="E72" s="10" t="str">
        <f>[1]泌尿外科!$I$4</f>
        <v>肾结石伴有积水和感染</v>
      </c>
      <c r="F72" s="10" t="str">
        <f>[1]泌尿外科!$C$4</f>
        <v>肾结石伴有积水和感染</v>
      </c>
      <c r="G72" t="s">
        <v>59</v>
      </c>
      <c r="H72" t="s">
        <v>59</v>
      </c>
    </row>
    <row r="73" spans="1:8" x14ac:dyDescent="0.25">
      <c r="A73" t="s">
        <v>241</v>
      </c>
      <c r="B73" t="s">
        <v>59</v>
      </c>
      <c r="C73" t="s">
        <v>90</v>
      </c>
      <c r="D73" s="10" t="str">
        <f>[1]泌尿外科!$N$4</f>
        <v>N13.2/N13.6</v>
      </c>
      <c r="E73" s="10" t="str">
        <f>[1]泌尿外科!$H$4</f>
        <v>N13.2/N13.6</v>
      </c>
      <c r="F73" s="10" t="str">
        <f>[1]泌尿外科!$B$4</f>
        <v>N13.2/N13.6</v>
      </c>
      <c r="G73" t="s">
        <v>59</v>
      </c>
      <c r="H73" t="s">
        <v>59</v>
      </c>
    </row>
    <row r="74" spans="1:8" x14ac:dyDescent="0.25">
      <c r="A74" t="s">
        <v>242</v>
      </c>
      <c r="B74" t="s">
        <v>14</v>
      </c>
      <c r="C74" t="s">
        <v>90</v>
      </c>
      <c r="D74" s="10">
        <f>[1]泌尿外科!$Q$4</f>
        <v>22.623325710552098</v>
      </c>
      <c r="E74" s="10">
        <f>[1]泌尿外科!$K$4</f>
        <v>25.6528986849417</v>
      </c>
      <c r="F74" s="10">
        <f>[1]泌尿外科!$E$4</f>
        <v>32.124523927802599</v>
      </c>
      <c r="G74" t="s">
        <v>59</v>
      </c>
      <c r="H74" t="s">
        <v>59</v>
      </c>
    </row>
    <row r="75" spans="1:8" x14ac:dyDescent="0.25">
      <c r="A75" t="s">
        <v>243</v>
      </c>
      <c r="B75" t="s">
        <v>59</v>
      </c>
      <c r="C75" t="s">
        <v>90</v>
      </c>
      <c r="D75" s="10" t="str">
        <f>[1]泌尿外科!$O$5</f>
        <v>前列腺增生</v>
      </c>
      <c r="E75" s="10" t="str">
        <f>[1]泌尿外科!$I$5</f>
        <v>前列腺增生</v>
      </c>
      <c r="F75" s="10" t="str">
        <f>[1]泌尿外科!$C$5</f>
        <v>前列腺癌内分泌治疗</v>
      </c>
      <c r="G75" t="s">
        <v>59</v>
      </c>
      <c r="H75" t="s">
        <v>59</v>
      </c>
    </row>
    <row r="76" spans="1:8" x14ac:dyDescent="0.25">
      <c r="A76" t="s">
        <v>244</v>
      </c>
      <c r="B76" t="s">
        <v>59</v>
      </c>
      <c r="C76" t="s">
        <v>90</v>
      </c>
      <c r="D76" s="10" t="str">
        <f>[1]泌尿外科!$N$5</f>
        <v>N40.x</v>
      </c>
      <c r="E76" s="10" t="str">
        <f>[1]泌尿外科!$H$5</f>
        <v>N40.x</v>
      </c>
      <c r="F76" s="10" t="str">
        <f>[1]泌尿外科!$B$5</f>
        <v>Z51.8</v>
      </c>
      <c r="G76" t="s">
        <v>59</v>
      </c>
      <c r="H76" t="s">
        <v>59</v>
      </c>
    </row>
    <row r="77" spans="1:8" x14ac:dyDescent="0.25">
      <c r="A77" t="s">
        <v>245</v>
      </c>
      <c r="B77" t="s">
        <v>14</v>
      </c>
      <c r="C77" t="s">
        <v>90</v>
      </c>
      <c r="D77" s="10">
        <f>[1]泌尿外科!$Q$5</f>
        <v>8.8696504410323396</v>
      </c>
      <c r="E77" s="10">
        <f>[1]泌尿外科!$K$5</f>
        <v>8.0570476014076693</v>
      </c>
      <c r="F77" s="10">
        <f>[1]泌尿外科!$E$5</f>
        <v>9.0743500579566092</v>
      </c>
      <c r="G77" t="s">
        <v>59</v>
      </c>
      <c r="H77" t="s">
        <v>59</v>
      </c>
    </row>
    <row r="78" spans="1:8" x14ac:dyDescent="0.25">
      <c r="A78" t="s">
        <v>246</v>
      </c>
      <c r="B78" t="s">
        <v>59</v>
      </c>
      <c r="C78" t="s">
        <v>90</v>
      </c>
      <c r="D78" s="10" t="str">
        <f>[1]泌尿外科!$O$6</f>
        <v>前列腺恶性肿瘤</v>
      </c>
      <c r="E78" s="10" t="str">
        <f>[1]泌尿外科!$I$6</f>
        <v>前列腺癌内分泌治疗</v>
      </c>
      <c r="F78" s="10" t="str">
        <f>[1]泌尿外科!$C$6</f>
        <v>前列腺增生</v>
      </c>
      <c r="G78" t="s">
        <v>59</v>
      </c>
      <c r="H78" t="s">
        <v>59</v>
      </c>
    </row>
    <row r="79" spans="1:8" x14ac:dyDescent="0.25">
      <c r="A79" t="s">
        <v>247</v>
      </c>
      <c r="B79" t="s">
        <v>59</v>
      </c>
      <c r="C79" t="s">
        <v>90</v>
      </c>
      <c r="D79" s="10" t="str">
        <f>[1]泌尿外科!$N$6</f>
        <v>C61.x</v>
      </c>
      <c r="E79" s="10" t="str">
        <f>[1]泌尿外科!$H$6</f>
        <v>Z51.8</v>
      </c>
      <c r="F79" s="10" t="str">
        <f>[1]泌尿外科!$B$6</f>
        <v>N40.x</v>
      </c>
      <c r="G79" t="s">
        <v>59</v>
      </c>
      <c r="H79" t="s">
        <v>59</v>
      </c>
    </row>
    <row r="80" spans="1:8" x14ac:dyDescent="0.25">
      <c r="A80" t="s">
        <v>248</v>
      </c>
      <c r="B80" t="s">
        <v>14</v>
      </c>
      <c r="C80" t="s">
        <v>90</v>
      </c>
      <c r="D80" s="10">
        <f>[1]泌尿外科!$Q$6</f>
        <v>3.5772623325710602</v>
      </c>
      <c r="E80" s="10">
        <f>[1]泌尿外科!$K$6</f>
        <v>4.0748286719762898</v>
      </c>
      <c r="F80" s="10">
        <f>[1]泌尿外科!$E$6</f>
        <v>8.3623116410001597</v>
      </c>
      <c r="G80" t="s">
        <v>59</v>
      </c>
      <c r="H80" t="s">
        <v>59</v>
      </c>
    </row>
    <row r="81" spans="1:8" x14ac:dyDescent="0.25">
      <c r="A81" t="s">
        <v>249</v>
      </c>
      <c r="B81" t="s">
        <v>59</v>
      </c>
      <c r="C81" t="s">
        <v>90</v>
      </c>
      <c r="D81" s="10" t="str">
        <f>[1]泌尿外科!$O$7</f>
        <v>膀胱结石</v>
      </c>
      <c r="E81" s="10" t="str">
        <f>[1]泌尿外科!$I$7</f>
        <v>前列腺恶性肿瘤</v>
      </c>
      <c r="F81" s="10" t="str">
        <f>[1]泌尿外科!$C$7</f>
        <v>膀胱结石</v>
      </c>
      <c r="G81" t="s">
        <v>59</v>
      </c>
      <c r="H81" t="s">
        <v>59</v>
      </c>
    </row>
    <row r="82" spans="1:8" x14ac:dyDescent="0.25">
      <c r="A82" t="s">
        <v>250</v>
      </c>
      <c r="B82" t="s">
        <v>59</v>
      </c>
      <c r="C82" t="s">
        <v>90</v>
      </c>
      <c r="D82" s="10" t="str">
        <f>[1]泌尿外科!$N$7</f>
        <v>N21.0</v>
      </c>
      <c r="E82" s="10" t="str">
        <f>[1]泌尿外科!$H$7</f>
        <v>C61.x</v>
      </c>
      <c r="F82" s="10" t="str">
        <f>[1]泌尿外科!$B$7</f>
        <v>N21.0</v>
      </c>
      <c r="G82" t="s">
        <v>59</v>
      </c>
      <c r="H82" t="s">
        <v>59</v>
      </c>
    </row>
    <row r="83" spans="1:8" x14ac:dyDescent="0.25">
      <c r="A83" t="s">
        <v>251</v>
      </c>
      <c r="B83" t="s">
        <v>14</v>
      </c>
      <c r="C83" t="s">
        <v>90</v>
      </c>
      <c r="D83" s="10">
        <f>[1]泌尿外科!$Q$7</f>
        <v>3.1198954590003298</v>
      </c>
      <c r="E83" s="10">
        <f>[1]泌尿外科!$K$7</f>
        <v>3.0005556584552702</v>
      </c>
      <c r="F83" s="10">
        <f>[1]泌尿外科!$E$7</f>
        <v>2.9971849643980799</v>
      </c>
      <c r="G83" t="s">
        <v>59</v>
      </c>
      <c r="H83" t="s">
        <v>59</v>
      </c>
    </row>
    <row r="84" spans="1:8" x14ac:dyDescent="0.25">
      <c r="A84" t="s">
        <v>252</v>
      </c>
      <c r="B84" t="s">
        <v>59</v>
      </c>
      <c r="C84" t="s">
        <v>90</v>
      </c>
      <c r="D84" s="10" t="str">
        <f>[1]泌尿外科!$O$8</f>
        <v>肾结石</v>
      </c>
      <c r="E84" s="10" t="str">
        <f>[1]泌尿外科!$I$8</f>
        <v>膀胱结石</v>
      </c>
      <c r="F84" s="10" t="str">
        <f>[1]泌尿外科!$C$8</f>
        <v>前列腺恶性肿瘤</v>
      </c>
      <c r="G84" t="s">
        <v>59</v>
      </c>
      <c r="H84" t="s">
        <v>59</v>
      </c>
    </row>
    <row r="85" spans="1:8" x14ac:dyDescent="0.25">
      <c r="A85" t="s">
        <v>253</v>
      </c>
      <c r="B85" t="s">
        <v>59</v>
      </c>
      <c r="C85" t="s">
        <v>90</v>
      </c>
      <c r="D85" s="10" t="str">
        <f>[1]泌尿外科!$N$8</f>
        <v>N20.0</v>
      </c>
      <c r="E85" s="10" t="str">
        <f>[1]泌尿外科!$H$8</f>
        <v>N21.0</v>
      </c>
      <c r="F85" s="10" t="str">
        <f>[1]泌尿外科!$B$8</f>
        <v>C61.x</v>
      </c>
      <c r="G85" t="s">
        <v>59</v>
      </c>
      <c r="H85" t="s">
        <v>59</v>
      </c>
    </row>
    <row r="86" spans="1:8" x14ac:dyDescent="0.25">
      <c r="A86" t="s">
        <v>254</v>
      </c>
      <c r="B86" t="s">
        <v>14</v>
      </c>
      <c r="C86" t="s">
        <v>90</v>
      </c>
      <c r="D86" s="10">
        <f>[1]泌尿外科!$Q$8</f>
        <v>1.8621365566808199</v>
      </c>
      <c r="E86" s="10">
        <f>[1]泌尿外科!$K$8</f>
        <v>2.7782922763474698</v>
      </c>
      <c r="F86" s="10">
        <f>[1]泌尿外科!$E$8</f>
        <v>2.40105977810896</v>
      </c>
      <c r="G86" t="s">
        <v>59</v>
      </c>
      <c r="H86" t="s">
        <v>59</v>
      </c>
    </row>
    <row r="87" spans="1:8" x14ac:dyDescent="0.25">
      <c r="A87" t="s">
        <v>255</v>
      </c>
      <c r="B87" t="s">
        <v>59</v>
      </c>
      <c r="C87" t="s">
        <v>90</v>
      </c>
      <c r="D87" s="22" t="str">
        <f>[2]泌尿外科!$O$4</f>
        <v>经皮肾镜气压弹道碎石术</v>
      </c>
      <c r="E87" s="22" t="str">
        <f>[2]泌尿外科!$I$4</f>
        <v>肾造口结石去除术，伴碎石，经肾镜(PCNL)</v>
      </c>
      <c r="F87" s="22" t="str">
        <f>[2]泌尿外科!$C$4</f>
        <v>肾造口结石去除术，伴碎石，经肾镜(PCNL)</v>
      </c>
      <c r="G87" t="s">
        <v>59</v>
      </c>
      <c r="H87" t="s">
        <v>59</v>
      </c>
    </row>
    <row r="88" spans="1:8" x14ac:dyDescent="0.25">
      <c r="A88" t="s">
        <v>256</v>
      </c>
      <c r="B88" t="s">
        <v>59</v>
      </c>
      <c r="C88" t="s">
        <v>90</v>
      </c>
      <c r="D88" s="23">
        <f>[2]泌尿外科!$N$4</f>
        <v>55.04</v>
      </c>
      <c r="E88" s="23">
        <f>[2]泌尿外科!$H$4</f>
        <v>55.04</v>
      </c>
      <c r="F88" s="23">
        <f>[2]泌尿外科!$B$4</f>
        <v>55.04</v>
      </c>
      <c r="G88" t="s">
        <v>59</v>
      </c>
      <c r="H88" t="s">
        <v>59</v>
      </c>
    </row>
    <row r="89" spans="1:8" x14ac:dyDescent="0.25">
      <c r="A89" t="s">
        <v>257</v>
      </c>
      <c r="B89" t="s">
        <v>14</v>
      </c>
      <c r="C89" t="s">
        <v>90</v>
      </c>
      <c r="D89" s="24">
        <f>[2]泌尿外科!$Q$4</f>
        <v>29.784824462061199</v>
      </c>
      <c r="E89" s="24">
        <f>[2]泌尿外科!$K$4</f>
        <v>36.801112656467303</v>
      </c>
      <c r="F89" s="24">
        <f>[2]泌尿外科!$E$4</f>
        <v>40.962837837837803</v>
      </c>
      <c r="G89" t="s">
        <v>59</v>
      </c>
      <c r="H89" t="s">
        <v>59</v>
      </c>
    </row>
    <row r="90" spans="1:8" x14ac:dyDescent="0.25">
      <c r="A90" t="s">
        <v>258</v>
      </c>
      <c r="B90" t="s">
        <v>59</v>
      </c>
      <c r="C90" t="s">
        <v>90</v>
      </c>
      <c r="D90" s="25" t="str">
        <f>[2]泌尿外科!$O$5</f>
        <v>经尿道输尿管镜输尿管气压弹道碎石取石术</v>
      </c>
      <c r="E90" s="25" t="str">
        <f>[2]泌尿外科!$I$5</f>
        <v>输尿管结石去除术，经输尿管镜</v>
      </c>
      <c r="F90" s="25" t="str">
        <f>[2]泌尿外科!$C$5</f>
        <v>输尿管结石去除术，经输尿管镜</v>
      </c>
      <c r="G90" t="s">
        <v>59</v>
      </c>
      <c r="H90" t="s">
        <v>59</v>
      </c>
    </row>
    <row r="91" spans="1:8" x14ac:dyDescent="0.25">
      <c r="A91" t="s">
        <v>259</v>
      </c>
      <c r="B91" t="s">
        <v>59</v>
      </c>
      <c r="C91" t="s">
        <v>90</v>
      </c>
      <c r="D91" s="26" t="str">
        <f>[2]泌尿外科!$N$5</f>
        <v>56.0x</v>
      </c>
      <c r="E91" s="26" t="str">
        <f>[2]泌尿外科!$H$5</f>
        <v>56.00</v>
      </c>
      <c r="F91" s="26" t="str">
        <f>[2]泌尿外科!$B$5</f>
        <v>56.00</v>
      </c>
      <c r="G91" t="s">
        <v>59</v>
      </c>
      <c r="H91" t="s">
        <v>59</v>
      </c>
    </row>
    <row r="92" spans="1:8" x14ac:dyDescent="0.25">
      <c r="A92" t="s">
        <v>260</v>
      </c>
      <c r="B92" t="s">
        <v>14</v>
      </c>
      <c r="C92" t="s">
        <v>90</v>
      </c>
      <c r="D92" s="24">
        <f>[2]泌尿外科!$Q$5</f>
        <v>27.361268403171</v>
      </c>
      <c r="E92" s="24">
        <f>[2]泌尿外科!$K$5</f>
        <v>22.865090403338002</v>
      </c>
      <c r="F92" s="24">
        <f>[2]泌尿外科!$E$5</f>
        <v>20.270270270270299</v>
      </c>
      <c r="G92" t="s">
        <v>59</v>
      </c>
      <c r="H92" t="s">
        <v>59</v>
      </c>
    </row>
    <row r="93" spans="1:8" x14ac:dyDescent="0.25">
      <c r="A93" t="s">
        <v>261</v>
      </c>
      <c r="B93" t="s">
        <v>59</v>
      </c>
      <c r="C93" t="s">
        <v>90</v>
      </c>
      <c r="D93" s="27" t="str">
        <f>[2]泌尿外科!$O$6</f>
        <v>经尿道前列腺等离子电切术</v>
      </c>
      <c r="E93" s="27" t="str">
        <f>[2]泌尿外科!$I$6</f>
        <v>前列腺（电）切除术，经尿道(TURP)</v>
      </c>
      <c r="F93" s="27" t="str">
        <f>[2]泌尿外科!$C$6</f>
        <v>前列腺（电）切除术，经尿道(TURP)</v>
      </c>
      <c r="G93" t="s">
        <v>59</v>
      </c>
      <c r="H93" t="s">
        <v>59</v>
      </c>
    </row>
    <row r="94" spans="1:8" x14ac:dyDescent="0.25">
      <c r="A94" t="s">
        <v>262</v>
      </c>
      <c r="B94" t="s">
        <v>59</v>
      </c>
      <c r="C94" t="s">
        <v>90</v>
      </c>
      <c r="D94" s="28">
        <f>[2]泌尿外科!$N$6</f>
        <v>60.29</v>
      </c>
      <c r="E94" s="28">
        <f>[2]泌尿外科!$H$6</f>
        <v>60.29</v>
      </c>
      <c r="F94" s="28">
        <f>[2]泌尿外科!$B$6</f>
        <v>60.29</v>
      </c>
      <c r="G94" t="s">
        <v>59</v>
      </c>
      <c r="H94" t="s">
        <v>59</v>
      </c>
    </row>
    <row r="95" spans="1:8" x14ac:dyDescent="0.25">
      <c r="A95" t="s">
        <v>263</v>
      </c>
      <c r="B95" t="s">
        <v>14</v>
      </c>
      <c r="C95" t="s">
        <v>90</v>
      </c>
      <c r="D95" s="24">
        <f>[2]泌尿外科!$Q$6</f>
        <v>6.8629671574178897</v>
      </c>
      <c r="E95" s="24">
        <f>[2]泌尿外科!$K$6</f>
        <v>8.4283727399165507</v>
      </c>
      <c r="F95" s="24">
        <f>[2]泌尿外科!$E$6</f>
        <v>8.7556306306306304</v>
      </c>
      <c r="G95" t="s">
        <v>59</v>
      </c>
      <c r="H95" t="s">
        <v>59</v>
      </c>
    </row>
    <row r="96" spans="1:8" x14ac:dyDescent="0.25">
      <c r="A96" t="s">
        <v>264</v>
      </c>
      <c r="B96" t="s">
        <v>59</v>
      </c>
      <c r="C96" t="s">
        <v>90</v>
      </c>
      <c r="D96" s="24" t="str">
        <f>[2]泌尿外科!$O$7</f>
        <v>经皮肾造口术</v>
      </c>
      <c r="E96" s="24" t="str">
        <f>[2]泌尿外科!$I$7</f>
        <v>肾造瘘术，经肾镜</v>
      </c>
      <c r="F96" s="24" t="str">
        <f>[2]泌尿外科!$C$7</f>
        <v>膀胱取石术，经膀胱镜</v>
      </c>
      <c r="G96" t="s">
        <v>59</v>
      </c>
      <c r="H96" t="s">
        <v>59</v>
      </c>
    </row>
    <row r="97" spans="1:8" x14ac:dyDescent="0.25">
      <c r="A97" t="s">
        <v>265</v>
      </c>
      <c r="B97" t="s">
        <v>59</v>
      </c>
      <c r="C97" t="s">
        <v>90</v>
      </c>
      <c r="D97" s="25">
        <f>[2]泌尿外科!$N$7</f>
        <v>55.03</v>
      </c>
      <c r="E97" s="25">
        <f>[2]泌尿外科!$H$7</f>
        <v>55.02</v>
      </c>
      <c r="F97" s="25" t="str">
        <f>[2]泌尿外科!$B$7</f>
        <v>57.00</v>
      </c>
      <c r="G97" t="s">
        <v>59</v>
      </c>
      <c r="H97" t="s">
        <v>59</v>
      </c>
    </row>
    <row r="98" spans="1:8" x14ac:dyDescent="0.25">
      <c r="A98" t="s">
        <v>266</v>
      </c>
      <c r="B98" t="s">
        <v>14</v>
      </c>
      <c r="C98" t="s">
        <v>90</v>
      </c>
      <c r="D98" s="26">
        <f>[2]泌尿外科!$Q$7</f>
        <v>4.4847112117780297</v>
      </c>
      <c r="E98" s="26">
        <f>[2]泌尿外科!$K$7</f>
        <v>3.4214186369958299</v>
      </c>
      <c r="F98" s="26">
        <f>[2]泌尿外科!$E$7</f>
        <v>4.3355855855855898</v>
      </c>
      <c r="G98" t="s">
        <v>59</v>
      </c>
      <c r="H98" t="s">
        <v>59</v>
      </c>
    </row>
    <row r="99" spans="1:8" x14ac:dyDescent="0.25">
      <c r="A99" t="s">
        <v>267</v>
      </c>
      <c r="B99" t="s">
        <v>59</v>
      </c>
      <c r="C99" t="s">
        <v>90</v>
      </c>
      <c r="D99" s="24" t="str">
        <f>[2]泌尿外科!$O$8</f>
        <v>经尿道膀胱气压弹道碎石术</v>
      </c>
      <c r="E99" s="24" t="str">
        <f>[2]泌尿外科!$I$8</f>
        <v>膀胱病损电切术，经尿道(TURBT)</v>
      </c>
      <c r="F99" s="24" t="str">
        <f>[2]泌尿外科!$C$8</f>
        <v>膀胱病损电切术，经尿道(TURBT)</v>
      </c>
      <c r="G99" t="s">
        <v>59</v>
      </c>
      <c r="H99" t="s">
        <v>59</v>
      </c>
    </row>
    <row r="100" spans="1:8" x14ac:dyDescent="0.25">
      <c r="A100" t="s">
        <v>268</v>
      </c>
      <c r="B100" t="s">
        <v>59</v>
      </c>
      <c r="C100" t="s">
        <v>90</v>
      </c>
      <c r="D100" s="10" t="str">
        <f>[2]泌尿外科!$N$8</f>
        <v>57.0x</v>
      </c>
      <c r="E100" s="10">
        <f>[2]泌尿外科!$H$8</f>
        <v>57.49</v>
      </c>
      <c r="F100" s="10">
        <f>[2]泌尿外科!$B$8</f>
        <v>57.49</v>
      </c>
      <c r="G100" t="s">
        <v>59</v>
      </c>
      <c r="H100" t="s">
        <v>59</v>
      </c>
    </row>
    <row r="101" spans="1:8" x14ac:dyDescent="0.25">
      <c r="A101" t="s">
        <v>269</v>
      </c>
      <c r="B101" t="s">
        <v>14</v>
      </c>
      <c r="C101" t="s">
        <v>90</v>
      </c>
      <c r="D101" s="10">
        <f>[2]泌尿外科!$Q$8</f>
        <v>4.4394110985277502</v>
      </c>
      <c r="E101" s="10">
        <f>[2]泌尿外科!$K$8</f>
        <v>2.7816411682892901</v>
      </c>
      <c r="F101" s="10">
        <f>[2]泌尿外科!$E$8</f>
        <v>3.0123873873873901</v>
      </c>
      <c r="G101" t="s">
        <v>59</v>
      </c>
      <c r="H101" t="s">
        <v>59</v>
      </c>
    </row>
  </sheetData>
  <phoneticPr fontId="10" type="noConversion"/>
  <conditionalFormatting sqref="D88">
    <cfRule type="duplicateValues" dxfId="131" priority="12"/>
  </conditionalFormatting>
  <conditionalFormatting sqref="E88">
    <cfRule type="duplicateValues" dxfId="130" priority="4"/>
  </conditionalFormatting>
  <conditionalFormatting sqref="F88">
    <cfRule type="duplicateValues" dxfId="129" priority="8"/>
  </conditionalFormatting>
  <conditionalFormatting sqref="D91">
    <cfRule type="duplicateValues" dxfId="128" priority="11"/>
  </conditionalFormatting>
  <conditionalFormatting sqref="E91">
    <cfRule type="duplicateValues" dxfId="127" priority="3"/>
  </conditionalFormatting>
  <conditionalFormatting sqref="F91">
    <cfRule type="duplicateValues" dxfId="126" priority="7"/>
  </conditionalFormatting>
  <conditionalFormatting sqref="D94">
    <cfRule type="duplicateValues" dxfId="125" priority="9"/>
  </conditionalFormatting>
  <conditionalFormatting sqref="E94">
    <cfRule type="duplicateValues" dxfId="124" priority="1"/>
  </conditionalFormatting>
  <conditionalFormatting sqref="F94">
    <cfRule type="duplicateValues" dxfId="123" priority="5"/>
  </conditionalFormatting>
  <conditionalFormatting sqref="D98">
    <cfRule type="duplicateValues" dxfId="122" priority="10"/>
  </conditionalFormatting>
  <conditionalFormatting sqref="E98">
    <cfRule type="duplicateValues" dxfId="121" priority="2"/>
  </conditionalFormatting>
  <conditionalFormatting sqref="F98">
    <cfRule type="duplicateValues" dxfId="120" priority="6"/>
  </conditionalFormatting>
  <pageMargins left="0.69930555555555596" right="0.69930555555555596" top="0.75" bottom="0.75" header="0.3" footer="0.3"/>
  <ignoredErrors>
    <ignoredError sqref="A2:B31 G2:H31 G34:H101 A34:B101 A1:H1"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t="s">
        <v>59</v>
      </c>
      <c r="E2" t="s">
        <v>59</v>
      </c>
      <c r="F2" t="s">
        <v>59</v>
      </c>
      <c r="G2" t="s">
        <v>16</v>
      </c>
      <c r="H2" t="s">
        <v>17</v>
      </c>
    </row>
    <row r="3" spans="1:8" x14ac:dyDescent="0.25">
      <c r="A3" t="s">
        <v>18</v>
      </c>
      <c r="B3" t="s">
        <v>14</v>
      </c>
      <c r="C3" t="s">
        <v>15</v>
      </c>
      <c r="D3" t="s">
        <v>59</v>
      </c>
      <c r="E3" t="s">
        <v>59</v>
      </c>
      <c r="F3" t="s">
        <v>59</v>
      </c>
      <c r="G3" t="s">
        <v>19</v>
      </c>
      <c r="H3" t="s">
        <v>20</v>
      </c>
    </row>
    <row r="4" spans="1:8" x14ac:dyDescent="0.25">
      <c r="A4" t="s">
        <v>21</v>
      </c>
      <c r="B4" t="s">
        <v>14</v>
      </c>
      <c r="C4" t="s">
        <v>15</v>
      </c>
      <c r="D4" t="s">
        <v>59</v>
      </c>
      <c r="E4" t="s">
        <v>59</v>
      </c>
      <c r="F4" t="s">
        <v>59</v>
      </c>
      <c r="G4" t="s">
        <v>22</v>
      </c>
      <c r="H4" t="s">
        <v>23</v>
      </c>
    </row>
    <row r="5" spans="1:8" x14ac:dyDescent="0.25">
      <c r="A5" t="s">
        <v>24</v>
      </c>
      <c r="B5" t="s">
        <v>14</v>
      </c>
      <c r="C5" t="s">
        <v>15</v>
      </c>
      <c r="D5" t="s">
        <v>59</v>
      </c>
      <c r="E5" t="s">
        <v>59</v>
      </c>
      <c r="F5" t="s">
        <v>59</v>
      </c>
      <c r="G5" t="s">
        <v>25</v>
      </c>
      <c r="H5" t="s">
        <v>26</v>
      </c>
    </row>
    <row r="6" spans="1:8" x14ac:dyDescent="0.25">
      <c r="A6" t="s">
        <v>33</v>
      </c>
      <c r="B6" t="s">
        <v>14</v>
      </c>
      <c r="C6" t="s">
        <v>34</v>
      </c>
      <c r="D6" t="s">
        <v>59</v>
      </c>
      <c r="E6" t="s">
        <v>59</v>
      </c>
      <c r="F6" t="s">
        <v>59</v>
      </c>
      <c r="G6" t="s">
        <v>35</v>
      </c>
      <c r="H6" t="s">
        <v>36</v>
      </c>
    </row>
    <row r="7" spans="1:8" x14ac:dyDescent="0.25">
      <c r="A7" t="s">
        <v>37</v>
      </c>
      <c r="B7" t="s">
        <v>14</v>
      </c>
      <c r="C7" t="s">
        <v>34</v>
      </c>
      <c r="D7" t="s">
        <v>59</v>
      </c>
      <c r="E7" t="s">
        <v>59</v>
      </c>
      <c r="F7" t="s">
        <v>59</v>
      </c>
      <c r="G7" t="s">
        <v>39</v>
      </c>
      <c r="H7" t="s">
        <v>40</v>
      </c>
    </row>
    <row r="8" spans="1:8" x14ac:dyDescent="0.25">
      <c r="A8" t="s">
        <v>41</v>
      </c>
      <c r="B8" t="s">
        <v>14</v>
      </c>
      <c r="C8" t="s">
        <v>10</v>
      </c>
      <c r="D8" t="s">
        <v>59</v>
      </c>
      <c r="E8" t="s">
        <v>59</v>
      </c>
      <c r="F8" t="s">
        <v>59</v>
      </c>
      <c r="G8" t="s">
        <v>39</v>
      </c>
      <c r="H8" t="s">
        <v>44</v>
      </c>
    </row>
    <row r="9" spans="1:8" x14ac:dyDescent="0.25">
      <c r="A9" t="s">
        <v>51</v>
      </c>
      <c r="B9" t="s">
        <v>14</v>
      </c>
      <c r="C9" t="s">
        <v>34</v>
      </c>
      <c r="D9" t="s">
        <v>59</v>
      </c>
      <c r="E9" t="s">
        <v>59</v>
      </c>
      <c r="F9" t="s">
        <v>59</v>
      </c>
      <c r="G9" t="s">
        <v>19</v>
      </c>
      <c r="H9" t="s">
        <v>52</v>
      </c>
    </row>
    <row r="10" spans="1:8" x14ac:dyDescent="0.25">
      <c r="A10" t="s">
        <v>57</v>
      </c>
      <c r="B10" t="s">
        <v>14</v>
      </c>
      <c r="C10" t="s">
        <v>38</v>
      </c>
      <c r="D10" t="s">
        <v>59</v>
      </c>
      <c r="E10" t="s">
        <v>59</v>
      </c>
      <c r="F10" t="s">
        <v>59</v>
      </c>
      <c r="G10" t="s">
        <v>58</v>
      </c>
      <c r="H10" t="s">
        <v>59</v>
      </c>
    </row>
    <row r="11" spans="1:8" x14ac:dyDescent="0.25">
      <c r="A11" t="s">
        <v>63</v>
      </c>
      <c r="B11" t="s">
        <v>64</v>
      </c>
      <c r="C11" t="s">
        <v>61</v>
      </c>
      <c r="D11" t="s">
        <v>59</v>
      </c>
      <c r="E11" t="s">
        <v>59</v>
      </c>
      <c r="F11" t="s">
        <v>59</v>
      </c>
      <c r="G11" t="s">
        <v>35</v>
      </c>
      <c r="H11" t="s">
        <v>65</v>
      </c>
    </row>
    <row r="12" spans="1:8" x14ac:dyDescent="0.25">
      <c r="A12" t="s">
        <v>66</v>
      </c>
      <c r="B12" t="s">
        <v>14</v>
      </c>
      <c r="C12" t="s">
        <v>61</v>
      </c>
      <c r="D12" s="6">
        <v>99.82</v>
      </c>
      <c r="E12" s="6">
        <v>69.69</v>
      </c>
      <c r="F12" s="6">
        <v>77.39</v>
      </c>
      <c r="G12" t="s">
        <v>39</v>
      </c>
      <c r="H12" t="s">
        <v>67</v>
      </c>
    </row>
    <row r="13" spans="1:8" x14ac:dyDescent="0.25">
      <c r="A13" t="s">
        <v>68</v>
      </c>
      <c r="B13" t="s">
        <v>14</v>
      </c>
      <c r="C13" t="s">
        <v>61</v>
      </c>
      <c r="D13" t="s">
        <v>59</v>
      </c>
      <c r="E13" t="s">
        <v>59</v>
      </c>
      <c r="F13" t="s">
        <v>59</v>
      </c>
      <c r="G13" t="s">
        <v>39</v>
      </c>
      <c r="H13" t="s">
        <v>69</v>
      </c>
    </row>
    <row r="14" spans="1:8" x14ac:dyDescent="0.25">
      <c r="A14" t="s">
        <v>74</v>
      </c>
      <c r="B14" t="s">
        <v>14</v>
      </c>
      <c r="C14" t="s">
        <v>75</v>
      </c>
      <c r="D14" t="s">
        <v>59</v>
      </c>
      <c r="E14" t="s">
        <v>59</v>
      </c>
      <c r="F14" t="s">
        <v>59</v>
      </c>
      <c r="G14" t="s">
        <v>35</v>
      </c>
      <c r="H14" t="s">
        <v>76</v>
      </c>
    </row>
    <row r="15" spans="1:8" x14ac:dyDescent="0.25">
      <c r="A15" t="s">
        <v>91</v>
      </c>
      <c r="B15" t="s">
        <v>92</v>
      </c>
      <c r="C15" t="s">
        <v>15</v>
      </c>
      <c r="D15" t="s">
        <v>59</v>
      </c>
      <c r="E15" t="s">
        <v>59</v>
      </c>
      <c r="F15" t="s">
        <v>59</v>
      </c>
      <c r="G15" t="s">
        <v>93</v>
      </c>
      <c r="H15" t="s">
        <v>94</v>
      </c>
    </row>
    <row r="16" spans="1:8" x14ac:dyDescent="0.25">
      <c r="A16" t="s">
        <v>95</v>
      </c>
      <c r="B16" t="s">
        <v>59</v>
      </c>
      <c r="C16" t="s">
        <v>34</v>
      </c>
      <c r="D16" t="s">
        <v>59</v>
      </c>
      <c r="E16" t="s">
        <v>59</v>
      </c>
      <c r="F16" t="s">
        <v>59</v>
      </c>
      <c r="G16" t="s">
        <v>96</v>
      </c>
      <c r="H16" t="s">
        <v>59</v>
      </c>
    </row>
    <row r="17" spans="1:8" x14ac:dyDescent="0.25">
      <c r="A17" t="s">
        <v>97</v>
      </c>
      <c r="B17" t="s">
        <v>98</v>
      </c>
      <c r="C17" t="s">
        <v>34</v>
      </c>
      <c r="D17" t="s">
        <v>59</v>
      </c>
      <c r="E17" t="s">
        <v>59</v>
      </c>
      <c r="F17" t="s">
        <v>59</v>
      </c>
      <c r="G17" t="s">
        <v>99</v>
      </c>
      <c r="H17" t="s">
        <v>59</v>
      </c>
    </row>
    <row r="18" spans="1:8" x14ac:dyDescent="0.25">
      <c r="A18" t="s">
        <v>104</v>
      </c>
      <c r="B18" t="s">
        <v>105</v>
      </c>
      <c r="C18" t="s">
        <v>15</v>
      </c>
      <c r="D18" t="s">
        <v>59</v>
      </c>
      <c r="E18" t="s">
        <v>59</v>
      </c>
      <c r="F18" t="s">
        <v>59</v>
      </c>
      <c r="G18" t="s">
        <v>58</v>
      </c>
      <c r="H18" t="s">
        <v>59</v>
      </c>
    </row>
    <row r="19" spans="1:8" x14ac:dyDescent="0.25">
      <c r="A19" t="s">
        <v>106</v>
      </c>
      <c r="B19" t="s">
        <v>105</v>
      </c>
      <c r="C19" t="s">
        <v>15</v>
      </c>
      <c r="D19" t="s">
        <v>59</v>
      </c>
      <c r="E19" t="s">
        <v>59</v>
      </c>
      <c r="F19" t="s">
        <v>59</v>
      </c>
      <c r="G19" t="s">
        <v>58</v>
      </c>
      <c r="H19" t="s">
        <v>59</v>
      </c>
    </row>
    <row r="20" spans="1:8" x14ac:dyDescent="0.25">
      <c r="A20" t="s">
        <v>107</v>
      </c>
      <c r="B20" t="s">
        <v>14</v>
      </c>
      <c r="C20" t="s">
        <v>15</v>
      </c>
      <c r="D20" t="s">
        <v>59</v>
      </c>
      <c r="E20" t="s">
        <v>59</v>
      </c>
      <c r="F20" t="s">
        <v>59</v>
      </c>
      <c r="G20" t="s">
        <v>58</v>
      </c>
      <c r="H20" t="s">
        <v>108</v>
      </c>
    </row>
    <row r="21" spans="1:8" x14ac:dyDescent="0.25">
      <c r="A21" t="s">
        <v>112</v>
      </c>
      <c r="B21" t="s">
        <v>59</v>
      </c>
      <c r="C21" t="s">
        <v>102</v>
      </c>
      <c r="D21" t="s">
        <v>59</v>
      </c>
      <c r="E21" t="s">
        <v>59</v>
      </c>
      <c r="F21" t="s">
        <v>59</v>
      </c>
      <c r="G21" t="s">
        <v>110</v>
      </c>
      <c r="H21" t="s">
        <v>113</v>
      </c>
    </row>
    <row r="22" spans="1:8" x14ac:dyDescent="0.25">
      <c r="A22" t="s">
        <v>114</v>
      </c>
      <c r="B22" t="s">
        <v>59</v>
      </c>
      <c r="C22" t="s">
        <v>102</v>
      </c>
      <c r="D22" t="s">
        <v>59</v>
      </c>
      <c r="E22" t="s">
        <v>59</v>
      </c>
      <c r="F22" t="s">
        <v>59</v>
      </c>
      <c r="G22" t="s">
        <v>110</v>
      </c>
      <c r="H22" t="s">
        <v>115</v>
      </c>
    </row>
    <row r="23" spans="1:8" x14ac:dyDescent="0.25">
      <c r="A23" t="s">
        <v>116</v>
      </c>
      <c r="B23" t="s">
        <v>117</v>
      </c>
      <c r="C23" t="s">
        <v>118</v>
      </c>
      <c r="D23" t="s">
        <v>59</v>
      </c>
      <c r="E23" t="s">
        <v>59</v>
      </c>
      <c r="F23" t="s">
        <v>59</v>
      </c>
      <c r="G23" t="s">
        <v>119</v>
      </c>
      <c r="H23" t="s">
        <v>59</v>
      </c>
    </row>
    <row r="24" spans="1:8" x14ac:dyDescent="0.25">
      <c r="A24" t="s">
        <v>120</v>
      </c>
      <c r="B24" t="s">
        <v>117</v>
      </c>
      <c r="C24" t="s">
        <v>118</v>
      </c>
      <c r="D24" t="s">
        <v>59</v>
      </c>
      <c r="E24" t="s">
        <v>59</v>
      </c>
      <c r="F24" t="s">
        <v>59</v>
      </c>
      <c r="G24" t="s">
        <v>121</v>
      </c>
      <c r="H24" t="s">
        <v>59</v>
      </c>
    </row>
    <row r="25" spans="1:8" x14ac:dyDescent="0.25">
      <c r="A25" t="s">
        <v>122</v>
      </c>
      <c r="B25" t="s">
        <v>117</v>
      </c>
      <c r="C25" t="s">
        <v>118</v>
      </c>
      <c r="D25" t="s">
        <v>59</v>
      </c>
      <c r="E25" t="s">
        <v>59</v>
      </c>
      <c r="F25" t="s">
        <v>59</v>
      </c>
      <c r="G25" t="s">
        <v>123</v>
      </c>
      <c r="H25" t="s">
        <v>59</v>
      </c>
    </row>
    <row r="26" spans="1:8" x14ac:dyDescent="0.25">
      <c r="A26" t="s">
        <v>124</v>
      </c>
      <c r="B26" t="s">
        <v>117</v>
      </c>
      <c r="C26" t="s">
        <v>118</v>
      </c>
      <c r="D26" t="s">
        <v>59</v>
      </c>
      <c r="E26" t="s">
        <v>59</v>
      </c>
      <c r="F26" t="s">
        <v>59</v>
      </c>
      <c r="G26" t="s">
        <v>125</v>
      </c>
      <c r="H26" t="s">
        <v>59</v>
      </c>
    </row>
    <row r="27" spans="1:8" x14ac:dyDescent="0.25">
      <c r="A27" t="s">
        <v>126</v>
      </c>
      <c r="B27" t="s">
        <v>127</v>
      </c>
      <c r="C27" t="s">
        <v>118</v>
      </c>
      <c r="D27" t="s">
        <v>59</v>
      </c>
      <c r="E27" t="s">
        <v>59</v>
      </c>
      <c r="F27" t="s">
        <v>59</v>
      </c>
      <c r="G27" t="s">
        <v>39</v>
      </c>
      <c r="H27" t="s">
        <v>128</v>
      </c>
    </row>
    <row r="28" spans="1:8" x14ac:dyDescent="0.25">
      <c r="A28" t="s">
        <v>129</v>
      </c>
      <c r="B28" t="s">
        <v>14</v>
      </c>
      <c r="C28" t="s">
        <v>118</v>
      </c>
      <c r="D28" t="s">
        <v>59</v>
      </c>
      <c r="E28" t="s">
        <v>59</v>
      </c>
      <c r="F28" t="s">
        <v>59</v>
      </c>
      <c r="G28" t="s">
        <v>130</v>
      </c>
      <c r="H28" t="s">
        <v>131</v>
      </c>
    </row>
    <row r="29" spans="1:8" x14ac:dyDescent="0.25">
      <c r="A29" t="s">
        <v>132</v>
      </c>
      <c r="B29" t="s">
        <v>117</v>
      </c>
      <c r="C29" t="s">
        <v>118</v>
      </c>
      <c r="D29" s="6">
        <v>17101.075658999998</v>
      </c>
      <c r="E29" s="6">
        <v>15064.59541</v>
      </c>
      <c r="F29" s="6">
        <v>15262.823838</v>
      </c>
      <c r="G29" t="s">
        <v>59</v>
      </c>
      <c r="H29" t="s">
        <v>133</v>
      </c>
    </row>
    <row r="30" spans="1:8" x14ac:dyDescent="0.25">
      <c r="A30" t="s">
        <v>134</v>
      </c>
      <c r="B30" t="s">
        <v>117</v>
      </c>
      <c r="C30" t="s">
        <v>118</v>
      </c>
      <c r="D30" t="s">
        <v>59</v>
      </c>
      <c r="E30" t="s">
        <v>59</v>
      </c>
      <c r="F30" t="s">
        <v>59</v>
      </c>
      <c r="G30" t="s">
        <v>59</v>
      </c>
      <c r="H30" t="s">
        <v>59</v>
      </c>
    </row>
    <row r="31" spans="1:8" x14ac:dyDescent="0.25">
      <c r="A31" t="s">
        <v>135</v>
      </c>
      <c r="B31" t="s">
        <v>117</v>
      </c>
      <c r="C31" t="s">
        <v>118</v>
      </c>
      <c r="D31" t="s">
        <v>59</v>
      </c>
      <c r="E31" t="s">
        <v>59</v>
      </c>
      <c r="F31" t="s">
        <v>59</v>
      </c>
      <c r="G31" t="s">
        <v>59</v>
      </c>
      <c r="H31" t="s">
        <v>136</v>
      </c>
    </row>
    <row r="32" spans="1:8" x14ac:dyDescent="0.25">
      <c r="A32" t="s">
        <v>216</v>
      </c>
      <c r="B32" t="s">
        <v>117</v>
      </c>
      <c r="D32" s="17">
        <v>8058.06</v>
      </c>
      <c r="E32" s="17">
        <v>209.51</v>
      </c>
      <c r="F32" s="17">
        <v>7746.34</v>
      </c>
    </row>
    <row r="33" spans="1:8" x14ac:dyDescent="0.25">
      <c r="A33" t="s">
        <v>143</v>
      </c>
      <c r="B33" t="s">
        <v>14</v>
      </c>
      <c r="D33" s="38"/>
      <c r="E33" s="38"/>
      <c r="F33" s="38"/>
    </row>
    <row r="34" spans="1:8" x14ac:dyDescent="0.25">
      <c r="A34" t="s">
        <v>137</v>
      </c>
      <c r="B34" t="s">
        <v>138</v>
      </c>
      <c r="C34" t="s">
        <v>139</v>
      </c>
      <c r="D34" t="s">
        <v>59</v>
      </c>
      <c r="E34" t="s">
        <v>59</v>
      </c>
      <c r="F34" t="s">
        <v>59</v>
      </c>
      <c r="G34" t="s">
        <v>35</v>
      </c>
      <c r="H34" t="s">
        <v>140</v>
      </c>
    </row>
    <row r="35" spans="1:8" x14ac:dyDescent="0.25">
      <c r="A35" t="s">
        <v>217</v>
      </c>
      <c r="B35" t="s">
        <v>14</v>
      </c>
      <c r="C35" t="s">
        <v>118</v>
      </c>
      <c r="D35" s="6">
        <v>8.6633498064216692</v>
      </c>
      <c r="E35" s="6">
        <v>6.1973322255987497</v>
      </c>
      <c r="F35" s="6">
        <v>6.7568379347496696</v>
      </c>
      <c r="G35" t="s">
        <v>22</v>
      </c>
      <c r="H35" t="s">
        <v>218</v>
      </c>
    </row>
    <row r="36" spans="1:8" x14ac:dyDescent="0.25">
      <c r="A36" t="s">
        <v>219</v>
      </c>
      <c r="B36" t="s">
        <v>14</v>
      </c>
      <c r="C36" t="s">
        <v>118</v>
      </c>
      <c r="D36" s="6">
        <v>91.336650193578294</v>
      </c>
      <c r="E36" s="6">
        <v>93.8026677744013</v>
      </c>
      <c r="F36" s="6">
        <v>93.243162065250303</v>
      </c>
      <c r="G36" t="s">
        <v>22</v>
      </c>
      <c r="H36" t="s">
        <v>220</v>
      </c>
    </row>
    <row r="37" spans="1:8" x14ac:dyDescent="0.25">
      <c r="A37" t="s">
        <v>144</v>
      </c>
      <c r="B37" t="s">
        <v>14</v>
      </c>
      <c r="C37" t="s">
        <v>118</v>
      </c>
      <c r="D37" s="6">
        <v>13.518320230812</v>
      </c>
      <c r="E37" s="6">
        <v>-1.2987664019712299</v>
      </c>
      <c r="F37" s="6">
        <v>0</v>
      </c>
      <c r="G37" t="s">
        <v>35</v>
      </c>
      <c r="H37" t="s">
        <v>145</v>
      </c>
    </row>
    <row r="38" spans="1:8" x14ac:dyDescent="0.25">
      <c r="A38" t="s">
        <v>146</v>
      </c>
      <c r="B38" t="s">
        <v>14</v>
      </c>
      <c r="C38" t="s">
        <v>118</v>
      </c>
      <c r="D38" s="6"/>
      <c r="E38" s="6"/>
      <c r="F38" s="6"/>
      <c r="G38" t="s">
        <v>35</v>
      </c>
      <c r="H38" t="s">
        <v>147</v>
      </c>
    </row>
    <row r="39" spans="1:8" x14ac:dyDescent="0.25">
      <c r="A39" t="s">
        <v>148</v>
      </c>
      <c r="B39" t="s">
        <v>14</v>
      </c>
      <c r="C39" t="s">
        <v>118</v>
      </c>
      <c r="D39" s="6"/>
      <c r="E39" s="6"/>
      <c r="F39" s="6"/>
      <c r="G39" t="s">
        <v>35</v>
      </c>
      <c r="H39" t="s">
        <v>149</v>
      </c>
    </row>
    <row r="40" spans="1:8" x14ac:dyDescent="0.25">
      <c r="A40" t="s">
        <v>150</v>
      </c>
      <c r="B40" t="s">
        <v>14</v>
      </c>
      <c r="C40" t="s">
        <v>118</v>
      </c>
      <c r="D40" s="6"/>
      <c r="E40" s="6"/>
      <c r="F40" s="6"/>
      <c r="G40" t="s">
        <v>35</v>
      </c>
      <c r="H40" t="s">
        <v>151</v>
      </c>
    </row>
    <row r="41" spans="1:8" x14ac:dyDescent="0.25">
      <c r="A41" t="s">
        <v>152</v>
      </c>
      <c r="B41" t="s">
        <v>14</v>
      </c>
      <c r="C41" t="s">
        <v>118</v>
      </c>
      <c r="D41" s="6"/>
      <c r="E41" s="6"/>
      <c r="F41" s="6"/>
      <c r="G41" t="s">
        <v>35</v>
      </c>
      <c r="H41" t="s">
        <v>153</v>
      </c>
    </row>
    <row r="42" spans="1:8" x14ac:dyDescent="0.25">
      <c r="A42" t="s">
        <v>164</v>
      </c>
      <c r="B42" t="s">
        <v>59</v>
      </c>
      <c r="C42" t="s">
        <v>102</v>
      </c>
      <c r="D42" s="6">
        <v>0.45</v>
      </c>
      <c r="E42" s="6">
        <v>0.42</v>
      </c>
      <c r="F42" s="6">
        <v>0.4</v>
      </c>
      <c r="G42" t="s">
        <v>165</v>
      </c>
      <c r="H42" t="s">
        <v>166</v>
      </c>
    </row>
    <row r="43" spans="1:8" x14ac:dyDescent="0.25">
      <c r="A43" t="s">
        <v>167</v>
      </c>
      <c r="B43" t="s">
        <v>101</v>
      </c>
      <c r="C43" t="s">
        <v>102</v>
      </c>
      <c r="D43" s="6">
        <v>41</v>
      </c>
      <c r="E43" s="6">
        <v>38</v>
      </c>
      <c r="F43" s="6">
        <v>36</v>
      </c>
      <c r="G43" t="s">
        <v>168</v>
      </c>
      <c r="H43" t="s">
        <v>59</v>
      </c>
    </row>
    <row r="44" spans="1:8" x14ac:dyDescent="0.25">
      <c r="A44" t="s">
        <v>169</v>
      </c>
      <c r="B44" t="s">
        <v>101</v>
      </c>
      <c r="C44" t="s">
        <v>102</v>
      </c>
      <c r="D44" s="6">
        <v>91</v>
      </c>
      <c r="E44" s="6">
        <v>91</v>
      </c>
      <c r="F44" s="6">
        <v>90</v>
      </c>
      <c r="G44" t="s">
        <v>168</v>
      </c>
      <c r="H44" t="s">
        <v>59</v>
      </c>
    </row>
    <row r="45" spans="1:8" x14ac:dyDescent="0.25">
      <c r="A45" t="s">
        <v>221</v>
      </c>
      <c r="B45" t="s">
        <v>14</v>
      </c>
      <c r="C45" t="s">
        <v>102</v>
      </c>
      <c r="D45" s="6">
        <v>34.15</v>
      </c>
      <c r="E45" s="6">
        <v>34.21</v>
      </c>
      <c r="F45" s="6">
        <v>36.11</v>
      </c>
      <c r="G45" t="s">
        <v>59</v>
      </c>
      <c r="H45" t="s">
        <v>222</v>
      </c>
    </row>
    <row r="46" spans="1:8" x14ac:dyDescent="0.25">
      <c r="A46" t="s">
        <v>223</v>
      </c>
      <c r="B46" t="s">
        <v>14</v>
      </c>
      <c r="C46" t="s">
        <v>102</v>
      </c>
      <c r="D46" s="6">
        <v>2.44</v>
      </c>
      <c r="E46" s="6">
        <v>2.63</v>
      </c>
      <c r="F46" s="6">
        <v>2.78</v>
      </c>
      <c r="G46" t="s">
        <v>59</v>
      </c>
      <c r="H46" t="s">
        <v>224</v>
      </c>
    </row>
    <row r="47" spans="1:8" x14ac:dyDescent="0.25">
      <c r="A47" t="s">
        <v>225</v>
      </c>
      <c r="B47" t="s">
        <v>14</v>
      </c>
      <c r="C47" t="s">
        <v>102</v>
      </c>
      <c r="D47" s="6">
        <v>51.22</v>
      </c>
      <c r="E47" s="6">
        <v>55.26</v>
      </c>
      <c r="F47" s="6">
        <v>50</v>
      </c>
      <c r="G47" t="s">
        <v>59</v>
      </c>
      <c r="H47" t="s">
        <v>226</v>
      </c>
    </row>
    <row r="48" spans="1:8" x14ac:dyDescent="0.25">
      <c r="A48" t="s">
        <v>188</v>
      </c>
      <c r="B48" t="s">
        <v>59</v>
      </c>
      <c r="C48" t="s">
        <v>176</v>
      </c>
      <c r="D48" s="6">
        <v>8.0000000000000002E-3</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2.4E-2</v>
      </c>
      <c r="E54" s="6">
        <v>0</v>
      </c>
      <c r="F54" s="6">
        <v>0</v>
      </c>
      <c r="G54" t="s">
        <v>205</v>
      </c>
      <c r="H54" t="s">
        <v>59</v>
      </c>
    </row>
    <row r="55" spans="1:8" x14ac:dyDescent="0.25">
      <c r="A55" t="s">
        <v>206</v>
      </c>
      <c r="B55" t="s">
        <v>207</v>
      </c>
      <c r="C55" t="s">
        <v>176</v>
      </c>
      <c r="D55" s="6">
        <v>6.4000000000000001E-2</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6"/>
      <c r="E58" s="6"/>
      <c r="F58" s="6"/>
      <c r="G58" t="s">
        <v>59</v>
      </c>
      <c r="H58" t="s">
        <v>213</v>
      </c>
    </row>
    <row r="59" spans="1:8" x14ac:dyDescent="0.25">
      <c r="A59" t="s">
        <v>214</v>
      </c>
      <c r="B59" t="s">
        <v>14</v>
      </c>
      <c r="C59" t="s">
        <v>15</v>
      </c>
      <c r="D59" s="6"/>
      <c r="E59" s="6"/>
      <c r="F59" s="6"/>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t="s">
        <v>59</v>
      </c>
      <c r="E72" t="s">
        <v>59</v>
      </c>
      <c r="F72" t="s">
        <v>59</v>
      </c>
      <c r="G72" t="s">
        <v>59</v>
      </c>
      <c r="H72" t="s">
        <v>59</v>
      </c>
    </row>
    <row r="73" spans="1:8" x14ac:dyDescent="0.25">
      <c r="A73" t="s">
        <v>241</v>
      </c>
      <c r="B73" t="s">
        <v>59</v>
      </c>
      <c r="C73" t="s">
        <v>90</v>
      </c>
      <c r="D73" t="s">
        <v>59</v>
      </c>
      <c r="E73" t="s">
        <v>59</v>
      </c>
      <c r="F73" t="s">
        <v>59</v>
      </c>
      <c r="G73" t="s">
        <v>59</v>
      </c>
      <c r="H73" t="s">
        <v>59</v>
      </c>
    </row>
    <row r="74" spans="1:8" x14ac:dyDescent="0.25">
      <c r="A74" t="s">
        <v>242</v>
      </c>
      <c r="B74" t="s">
        <v>14</v>
      </c>
      <c r="C74" t="s">
        <v>90</v>
      </c>
      <c r="D74" t="s">
        <v>59</v>
      </c>
      <c r="E74" t="s">
        <v>59</v>
      </c>
      <c r="F74" t="s">
        <v>59</v>
      </c>
      <c r="G74" t="s">
        <v>59</v>
      </c>
      <c r="H74" t="s">
        <v>59</v>
      </c>
    </row>
    <row r="75" spans="1:8" x14ac:dyDescent="0.25">
      <c r="A75" t="s">
        <v>243</v>
      </c>
      <c r="B75" t="s">
        <v>59</v>
      </c>
      <c r="C75" t="s">
        <v>90</v>
      </c>
      <c r="D75" t="s">
        <v>59</v>
      </c>
      <c r="E75" t="s">
        <v>59</v>
      </c>
      <c r="F75" t="s">
        <v>59</v>
      </c>
      <c r="G75" t="s">
        <v>59</v>
      </c>
      <c r="H75" t="s">
        <v>59</v>
      </c>
    </row>
    <row r="76" spans="1:8" x14ac:dyDescent="0.25">
      <c r="A76" t="s">
        <v>244</v>
      </c>
      <c r="B76" t="s">
        <v>59</v>
      </c>
      <c r="C76" t="s">
        <v>90</v>
      </c>
      <c r="D76" t="s">
        <v>59</v>
      </c>
      <c r="E76" t="s">
        <v>59</v>
      </c>
      <c r="F76" t="s">
        <v>59</v>
      </c>
      <c r="G76" t="s">
        <v>59</v>
      </c>
      <c r="H76" t="s">
        <v>59</v>
      </c>
    </row>
    <row r="77" spans="1:8" x14ac:dyDescent="0.25">
      <c r="A77" t="s">
        <v>245</v>
      </c>
      <c r="B77" t="s">
        <v>14</v>
      </c>
      <c r="C77" t="s">
        <v>90</v>
      </c>
      <c r="D77" t="s">
        <v>59</v>
      </c>
      <c r="E77" t="s">
        <v>59</v>
      </c>
      <c r="F77" t="s">
        <v>59</v>
      </c>
      <c r="G77" t="s">
        <v>59</v>
      </c>
      <c r="H77" t="s">
        <v>59</v>
      </c>
    </row>
    <row r="78" spans="1:8" x14ac:dyDescent="0.25">
      <c r="A78" t="s">
        <v>246</v>
      </c>
      <c r="B78" t="s">
        <v>59</v>
      </c>
      <c r="C78" t="s">
        <v>90</v>
      </c>
      <c r="D78" t="s">
        <v>59</v>
      </c>
      <c r="E78" t="s">
        <v>59</v>
      </c>
      <c r="F78" t="s">
        <v>59</v>
      </c>
      <c r="G78" t="s">
        <v>59</v>
      </c>
      <c r="H78" t="s">
        <v>59</v>
      </c>
    </row>
    <row r="79" spans="1:8" x14ac:dyDescent="0.25">
      <c r="A79" t="s">
        <v>247</v>
      </c>
      <c r="B79" t="s">
        <v>59</v>
      </c>
      <c r="C79" t="s">
        <v>90</v>
      </c>
      <c r="D79" t="s">
        <v>59</v>
      </c>
      <c r="E79" t="s">
        <v>59</v>
      </c>
      <c r="F79" t="s">
        <v>59</v>
      </c>
      <c r="G79" t="s">
        <v>59</v>
      </c>
      <c r="H79" t="s">
        <v>59</v>
      </c>
    </row>
    <row r="80" spans="1:8" x14ac:dyDescent="0.25">
      <c r="A80" t="s">
        <v>248</v>
      </c>
      <c r="B80" t="s">
        <v>14</v>
      </c>
      <c r="C80" t="s">
        <v>90</v>
      </c>
      <c r="D80" t="s">
        <v>59</v>
      </c>
      <c r="E80" t="s">
        <v>59</v>
      </c>
      <c r="F80" t="s">
        <v>59</v>
      </c>
      <c r="G80" t="s">
        <v>59</v>
      </c>
      <c r="H80" t="s">
        <v>59</v>
      </c>
    </row>
    <row r="81" spans="1:8" x14ac:dyDescent="0.25">
      <c r="A81" t="s">
        <v>249</v>
      </c>
      <c r="B81" t="s">
        <v>59</v>
      </c>
      <c r="C81" t="s">
        <v>90</v>
      </c>
      <c r="D81" t="s">
        <v>59</v>
      </c>
      <c r="E81" t="s">
        <v>59</v>
      </c>
      <c r="F81" t="s">
        <v>59</v>
      </c>
      <c r="G81" t="s">
        <v>59</v>
      </c>
      <c r="H81" t="s">
        <v>59</v>
      </c>
    </row>
    <row r="82" spans="1:8" x14ac:dyDescent="0.25">
      <c r="A82" t="s">
        <v>250</v>
      </c>
      <c r="B82" t="s">
        <v>59</v>
      </c>
      <c r="C82" t="s">
        <v>90</v>
      </c>
      <c r="D82" t="s">
        <v>59</v>
      </c>
      <c r="E82" t="s">
        <v>59</v>
      </c>
      <c r="F82" t="s">
        <v>59</v>
      </c>
      <c r="G82" t="s">
        <v>59</v>
      </c>
      <c r="H82" t="s">
        <v>59</v>
      </c>
    </row>
    <row r="83" spans="1:8" x14ac:dyDescent="0.25">
      <c r="A83" t="s">
        <v>251</v>
      </c>
      <c r="B83" t="s">
        <v>14</v>
      </c>
      <c r="C83" t="s">
        <v>90</v>
      </c>
      <c r="D83" t="s">
        <v>59</v>
      </c>
      <c r="E83" t="s">
        <v>59</v>
      </c>
      <c r="F83" t="s">
        <v>59</v>
      </c>
      <c r="G83" t="s">
        <v>59</v>
      </c>
      <c r="H83" t="s">
        <v>59</v>
      </c>
    </row>
    <row r="84" spans="1:8" x14ac:dyDescent="0.25">
      <c r="A84" t="s">
        <v>252</v>
      </c>
      <c r="B84" t="s">
        <v>59</v>
      </c>
      <c r="C84" t="s">
        <v>90</v>
      </c>
      <c r="D84" t="s">
        <v>59</v>
      </c>
      <c r="E84" t="s">
        <v>59</v>
      </c>
      <c r="F84" t="s">
        <v>59</v>
      </c>
      <c r="G84" t="s">
        <v>59</v>
      </c>
      <c r="H84" t="s">
        <v>59</v>
      </c>
    </row>
    <row r="85" spans="1:8" x14ac:dyDescent="0.25">
      <c r="A85" t="s">
        <v>253</v>
      </c>
      <c r="B85" t="s">
        <v>59</v>
      </c>
      <c r="C85" t="s">
        <v>90</v>
      </c>
      <c r="D85" t="s">
        <v>59</v>
      </c>
      <c r="E85" t="s">
        <v>59</v>
      </c>
      <c r="F85" t="s">
        <v>59</v>
      </c>
      <c r="G85" t="s">
        <v>59</v>
      </c>
      <c r="H85" t="s">
        <v>59</v>
      </c>
    </row>
    <row r="86" spans="1:8" x14ac:dyDescent="0.25">
      <c r="A86" t="s">
        <v>254</v>
      </c>
      <c r="B86" t="s">
        <v>14</v>
      </c>
      <c r="C86" t="s">
        <v>90</v>
      </c>
      <c r="D86" t="s">
        <v>59</v>
      </c>
      <c r="E86" t="s">
        <v>59</v>
      </c>
      <c r="F86" t="s">
        <v>59</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D30:H31 A2:B31 D2:H11 A34:B101 A1:H1 D13:H28 G12:H12 D34:H34 G29:H29 D72:H101 G35:H71" numberStoredAsText="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H101"/>
  <sheetViews>
    <sheetView topLeftCell="A13" workbookViewId="0">
      <selection activeCell="D33" sqref="D33:F33"/>
    </sheetView>
  </sheetViews>
  <sheetFormatPr defaultColWidth="9" defaultRowHeight="15" x14ac:dyDescent="0.25"/>
  <cols>
    <col min="1" max="1" width="28" customWidth="1"/>
    <col min="2" max="2" width="11" customWidth="1"/>
    <col min="3" max="3" width="9" customWidth="1"/>
    <col min="4" max="4" width="10" customWidth="1"/>
    <col min="5" max="5" width="11.5" customWidth="1"/>
    <col min="6"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11">
        <v>1.1812627291242399</v>
      </c>
      <c r="E2" s="11">
        <v>1.14824687307771</v>
      </c>
      <c r="F2" s="11">
        <v>0.75054315623148304</v>
      </c>
      <c r="G2" t="s">
        <v>16</v>
      </c>
      <c r="H2" t="s">
        <v>17</v>
      </c>
    </row>
    <row r="3" spans="1:8" x14ac:dyDescent="0.25">
      <c r="A3" t="s">
        <v>18</v>
      </c>
      <c r="B3" t="s">
        <v>14</v>
      </c>
      <c r="C3" t="s">
        <v>15</v>
      </c>
      <c r="D3" s="11">
        <v>17.241379310344801</v>
      </c>
      <c r="E3" s="11">
        <v>10.714285714285699</v>
      </c>
      <c r="F3" s="11">
        <v>0</v>
      </c>
      <c r="G3" t="s">
        <v>19</v>
      </c>
      <c r="H3" t="s">
        <v>20</v>
      </c>
    </row>
    <row r="4" spans="1:8" x14ac:dyDescent="0.25">
      <c r="A4" t="s">
        <v>21</v>
      </c>
      <c r="B4" t="s">
        <v>14</v>
      </c>
      <c r="C4" t="s">
        <v>15</v>
      </c>
      <c r="D4" s="11">
        <v>5.1724137931034502</v>
      </c>
      <c r="E4" s="11">
        <v>7.1428571428571397</v>
      </c>
      <c r="F4" s="11">
        <v>2.6315789473684199</v>
      </c>
      <c r="G4" t="s">
        <v>22</v>
      </c>
      <c r="H4" t="s">
        <v>23</v>
      </c>
    </row>
    <row r="5" spans="1:8" x14ac:dyDescent="0.25">
      <c r="A5" t="s">
        <v>24</v>
      </c>
      <c r="B5" t="s">
        <v>14</v>
      </c>
      <c r="C5" t="s">
        <v>15</v>
      </c>
      <c r="D5" s="11">
        <v>99.25</v>
      </c>
      <c r="E5" s="11">
        <v>98.69</v>
      </c>
      <c r="F5" s="11">
        <v>95.95</v>
      </c>
      <c r="G5" t="s">
        <v>25</v>
      </c>
      <c r="H5" t="s">
        <v>26</v>
      </c>
    </row>
    <row r="6" spans="1:8" x14ac:dyDescent="0.25">
      <c r="A6" t="s">
        <v>33</v>
      </c>
      <c r="B6" t="s">
        <v>14</v>
      </c>
      <c r="C6" t="s">
        <v>34</v>
      </c>
      <c r="D6" s="11">
        <v>0</v>
      </c>
      <c r="E6" s="11">
        <v>0</v>
      </c>
      <c r="F6" s="11">
        <v>0</v>
      </c>
      <c r="G6" t="s">
        <v>35</v>
      </c>
      <c r="H6" t="s">
        <v>36</v>
      </c>
    </row>
    <row r="7" spans="1:8" x14ac:dyDescent="0.25">
      <c r="A7" t="s">
        <v>37</v>
      </c>
      <c r="B7" t="s">
        <v>14</v>
      </c>
      <c r="C7" t="s">
        <v>34</v>
      </c>
      <c r="D7" s="11">
        <v>0</v>
      </c>
      <c r="E7" s="11">
        <v>0</v>
      </c>
      <c r="F7" s="11">
        <v>0</v>
      </c>
      <c r="G7" t="s">
        <v>39</v>
      </c>
      <c r="H7" t="s">
        <v>40</v>
      </c>
    </row>
    <row r="8" spans="1:8" x14ac:dyDescent="0.25">
      <c r="A8" t="s">
        <v>41</v>
      </c>
      <c r="B8" t="s">
        <v>14</v>
      </c>
      <c r="C8" t="s">
        <v>10</v>
      </c>
      <c r="D8" s="11"/>
      <c r="E8" s="11"/>
      <c r="F8" s="11"/>
      <c r="G8" t="s">
        <v>39</v>
      </c>
      <c r="H8" t="s">
        <v>44</v>
      </c>
    </row>
    <row r="9" spans="1:8" x14ac:dyDescent="0.25">
      <c r="A9" t="s">
        <v>51</v>
      </c>
      <c r="B9" t="s">
        <v>14</v>
      </c>
      <c r="C9" t="s">
        <v>34</v>
      </c>
      <c r="D9" s="11">
        <v>0</v>
      </c>
      <c r="E9" s="11">
        <v>0</v>
      </c>
      <c r="F9" s="11">
        <v>0</v>
      </c>
      <c r="G9" t="s">
        <v>19</v>
      </c>
      <c r="H9" t="s">
        <v>52</v>
      </c>
    </row>
    <row r="10" spans="1:8" x14ac:dyDescent="0.25">
      <c r="A10" t="s">
        <v>57</v>
      </c>
      <c r="B10" t="s">
        <v>14</v>
      </c>
      <c r="C10" t="s">
        <v>38</v>
      </c>
      <c r="D10" s="11">
        <v>0.2</v>
      </c>
      <c r="E10" s="11">
        <v>0.27</v>
      </c>
      <c r="F10" s="11">
        <v>0.1</v>
      </c>
      <c r="G10" t="s">
        <v>58</v>
      </c>
      <c r="H10" t="s">
        <v>59</v>
      </c>
    </row>
    <row r="11" spans="1:8" x14ac:dyDescent="0.25">
      <c r="A11" t="s">
        <v>63</v>
      </c>
      <c r="B11" t="s">
        <v>64</v>
      </c>
      <c r="C11" t="s">
        <v>61</v>
      </c>
      <c r="D11" s="5">
        <v>104.02515565395299</v>
      </c>
      <c r="E11" s="5">
        <v>110.638517068528</v>
      </c>
      <c r="F11" s="5">
        <v>104.987338749887</v>
      </c>
      <c r="G11" t="s">
        <v>35</v>
      </c>
      <c r="H11" t="s">
        <v>65</v>
      </c>
    </row>
    <row r="12" spans="1:8" x14ac:dyDescent="0.25">
      <c r="A12" t="s">
        <v>66</v>
      </c>
      <c r="B12" t="s">
        <v>14</v>
      </c>
      <c r="C12" t="s">
        <v>61</v>
      </c>
      <c r="D12" s="5">
        <v>83.01</v>
      </c>
      <c r="E12" s="5">
        <v>69.42</v>
      </c>
      <c r="F12" s="5">
        <v>76.34</v>
      </c>
      <c r="G12" t="s">
        <v>39</v>
      </c>
      <c r="H12" t="s">
        <v>67</v>
      </c>
    </row>
    <row r="13" spans="1:8" x14ac:dyDescent="0.25">
      <c r="A13" t="s">
        <v>68</v>
      </c>
      <c r="B13" t="s">
        <v>14</v>
      </c>
      <c r="C13" t="s">
        <v>61</v>
      </c>
      <c r="D13" s="5">
        <v>98.42</v>
      </c>
      <c r="E13" s="5">
        <v>98.52</v>
      </c>
      <c r="F13" s="5">
        <v>96.56</v>
      </c>
      <c r="G13" t="s">
        <v>39</v>
      </c>
      <c r="H13" t="s">
        <v>69</v>
      </c>
    </row>
    <row r="14" spans="1:8" x14ac:dyDescent="0.25">
      <c r="A14" t="s">
        <v>74</v>
      </c>
      <c r="B14" t="s">
        <v>14</v>
      </c>
      <c r="C14" t="s">
        <v>75</v>
      </c>
      <c r="D14" s="36"/>
      <c r="E14" s="5">
        <f>2402/44846550*100</f>
        <v>5.3560418805905915E-3</v>
      </c>
      <c r="F14" s="36" t="s">
        <v>59</v>
      </c>
      <c r="G14" t="s">
        <v>35</v>
      </c>
      <c r="H14" t="s">
        <v>76</v>
      </c>
    </row>
    <row r="15" spans="1:8" x14ac:dyDescent="0.25">
      <c r="A15" t="s">
        <v>91</v>
      </c>
      <c r="B15" t="s">
        <v>92</v>
      </c>
      <c r="C15" t="s">
        <v>15</v>
      </c>
      <c r="D15" s="5">
        <v>9.0299999999999994</v>
      </c>
      <c r="E15" s="5">
        <v>9.3800000000000008</v>
      </c>
      <c r="F15" s="5">
        <v>9.7200000000000006</v>
      </c>
      <c r="G15" t="s">
        <v>93</v>
      </c>
      <c r="H15" t="s">
        <v>94</v>
      </c>
    </row>
    <row r="16" spans="1:8" x14ac:dyDescent="0.25">
      <c r="A16" t="s">
        <v>95</v>
      </c>
      <c r="B16" t="s">
        <v>59</v>
      </c>
      <c r="C16" t="s">
        <v>34</v>
      </c>
      <c r="D16" s="5">
        <v>1.32</v>
      </c>
      <c r="E16" s="5">
        <v>1.25</v>
      </c>
      <c r="F16" s="5">
        <v>1.24</v>
      </c>
      <c r="G16" t="s">
        <v>96</v>
      </c>
      <c r="H16" t="s">
        <v>59</v>
      </c>
    </row>
    <row r="17" spans="1:8" x14ac:dyDescent="0.25">
      <c r="A17" t="s">
        <v>97</v>
      </c>
      <c r="B17" t="s">
        <v>98</v>
      </c>
      <c r="C17" t="s">
        <v>34</v>
      </c>
      <c r="D17" s="5">
        <v>155</v>
      </c>
      <c r="E17" s="5">
        <v>153</v>
      </c>
      <c r="F17" s="5">
        <v>142</v>
      </c>
      <c r="G17" t="s">
        <v>99</v>
      </c>
      <c r="H17" t="s">
        <v>59</v>
      </c>
    </row>
    <row r="18" spans="1:8" x14ac:dyDescent="0.25">
      <c r="A18" t="s">
        <v>104</v>
      </c>
      <c r="B18" t="s">
        <v>105</v>
      </c>
      <c r="C18" t="s">
        <v>15</v>
      </c>
      <c r="D18" s="37">
        <v>110</v>
      </c>
      <c r="E18" s="37">
        <v>110</v>
      </c>
      <c r="F18" s="37">
        <v>110</v>
      </c>
      <c r="G18" t="s">
        <v>58</v>
      </c>
      <c r="H18" t="s">
        <v>59</v>
      </c>
    </row>
    <row r="19" spans="1:8" x14ac:dyDescent="0.25">
      <c r="A19" t="s">
        <v>106</v>
      </c>
      <c r="B19" t="s">
        <v>105</v>
      </c>
      <c r="C19" t="s">
        <v>15</v>
      </c>
      <c r="D19" s="37">
        <v>126</v>
      </c>
      <c r="E19" s="37">
        <v>120</v>
      </c>
      <c r="F19" s="37">
        <v>130</v>
      </c>
      <c r="G19" t="s">
        <v>58</v>
      </c>
      <c r="H19" t="s">
        <v>59</v>
      </c>
    </row>
    <row r="20" spans="1:8" x14ac:dyDescent="0.25">
      <c r="A20" t="s">
        <v>107</v>
      </c>
      <c r="B20" t="s">
        <v>14</v>
      </c>
      <c r="C20" t="s">
        <v>15</v>
      </c>
      <c r="D20" s="5">
        <v>95.88</v>
      </c>
      <c r="E20" s="5">
        <v>98.25</v>
      </c>
      <c r="F20" s="5">
        <v>101.86</v>
      </c>
      <c r="G20" t="s">
        <v>58</v>
      </c>
      <c r="H20" t="s">
        <v>108</v>
      </c>
    </row>
    <row r="21" spans="1:8" x14ac:dyDescent="0.25">
      <c r="A21" t="s">
        <v>112</v>
      </c>
      <c r="B21" t="s">
        <v>59</v>
      </c>
      <c r="C21" t="s">
        <v>102</v>
      </c>
      <c r="D21" s="5">
        <f t="shared" ref="D21:F21" si="0">D43/D19</f>
        <v>0.15079365079365079</v>
      </c>
      <c r="E21" s="5">
        <f t="shared" si="0"/>
        <v>0.15</v>
      </c>
      <c r="F21" s="5">
        <f t="shared" si="0"/>
        <v>0.13076923076923078</v>
      </c>
      <c r="G21" t="s">
        <v>110</v>
      </c>
      <c r="H21" t="s">
        <v>113</v>
      </c>
    </row>
    <row r="22" spans="1:8" x14ac:dyDescent="0.25">
      <c r="A22" t="s">
        <v>114</v>
      </c>
      <c r="B22" t="s">
        <v>59</v>
      </c>
      <c r="C22" t="s">
        <v>102</v>
      </c>
      <c r="D22" s="5">
        <f t="shared" ref="D22:F22" si="1">D44/D19</f>
        <v>0.45238095238095238</v>
      </c>
      <c r="E22" s="5">
        <f t="shared" si="1"/>
        <v>0.46666666666666667</v>
      </c>
      <c r="F22" s="5">
        <f t="shared" si="1"/>
        <v>0.47692307692307695</v>
      </c>
      <c r="G22" t="s">
        <v>110</v>
      </c>
      <c r="H22" t="s">
        <v>115</v>
      </c>
    </row>
    <row r="23" spans="1:8" x14ac:dyDescent="0.25">
      <c r="A23" t="s">
        <v>116</v>
      </c>
      <c r="B23" t="s">
        <v>117</v>
      </c>
      <c r="C23" t="s">
        <v>118</v>
      </c>
      <c r="D23" s="5">
        <v>17.831436435897398</v>
      </c>
      <c r="E23" s="5">
        <v>18.118103828947401</v>
      </c>
      <c r="F23" s="5">
        <v>18.0368138051948</v>
      </c>
      <c r="G23" t="s">
        <v>119</v>
      </c>
      <c r="H23" t="s">
        <v>59</v>
      </c>
    </row>
    <row r="24" spans="1:8" x14ac:dyDescent="0.25">
      <c r="A24" t="s">
        <v>120</v>
      </c>
      <c r="B24" t="s">
        <v>117</v>
      </c>
      <c r="C24" t="s">
        <v>118</v>
      </c>
      <c r="D24" s="5">
        <v>38.942475782051297</v>
      </c>
      <c r="E24" s="5">
        <v>37.482985236842097</v>
      </c>
      <c r="F24" s="5">
        <v>35.560684000000002</v>
      </c>
      <c r="G24" t="s">
        <v>121</v>
      </c>
      <c r="H24" t="s">
        <v>59</v>
      </c>
    </row>
    <row r="25" spans="1:8" x14ac:dyDescent="0.25">
      <c r="A25" t="s">
        <v>122</v>
      </c>
      <c r="B25" t="s">
        <v>117</v>
      </c>
      <c r="C25" t="s">
        <v>118</v>
      </c>
      <c r="D25" s="5">
        <v>11.2138357010401</v>
      </c>
      <c r="E25" s="5">
        <v>10.944014393578099</v>
      </c>
      <c r="F25" s="5">
        <v>10.6833435615385</v>
      </c>
      <c r="G25" t="s">
        <v>123</v>
      </c>
      <c r="H25" t="s">
        <v>59</v>
      </c>
    </row>
    <row r="26" spans="1:8" x14ac:dyDescent="0.25">
      <c r="A26" t="s">
        <v>124</v>
      </c>
      <c r="B26" t="s">
        <v>117</v>
      </c>
      <c r="C26" t="s">
        <v>118</v>
      </c>
      <c r="D26" s="5">
        <v>24.490148439893598</v>
      </c>
      <c r="E26" s="5">
        <v>22.641129216340801</v>
      </c>
      <c r="F26" s="5">
        <v>21.0628666769231</v>
      </c>
      <c r="G26" t="s">
        <v>125</v>
      </c>
      <c r="H26" t="s">
        <v>59</v>
      </c>
    </row>
    <row r="27" spans="1:8" x14ac:dyDescent="0.25">
      <c r="A27" t="s">
        <v>126</v>
      </c>
      <c r="B27" t="s">
        <v>127</v>
      </c>
      <c r="C27" t="s">
        <v>118</v>
      </c>
      <c r="D27" s="5">
        <v>6.25897620764239</v>
      </c>
      <c r="E27" s="5">
        <v>6.8861491628614901</v>
      </c>
      <c r="F27" s="5">
        <v>7.78936341659952</v>
      </c>
      <c r="G27" t="s">
        <v>39</v>
      </c>
      <c r="H27" t="s">
        <v>128</v>
      </c>
    </row>
    <row r="28" spans="1:8" x14ac:dyDescent="0.25">
      <c r="A28" t="s">
        <v>129</v>
      </c>
      <c r="B28" t="s">
        <v>14</v>
      </c>
      <c r="C28" t="s">
        <v>118</v>
      </c>
      <c r="D28" s="5">
        <v>29.114892484991199</v>
      </c>
      <c r="E28" s="5">
        <v>30.684325045627801</v>
      </c>
      <c r="F28" s="5">
        <v>30.862634943481002</v>
      </c>
      <c r="G28" t="s">
        <v>130</v>
      </c>
      <c r="H28" t="s">
        <v>131</v>
      </c>
    </row>
    <row r="29" spans="1:8" x14ac:dyDescent="0.25">
      <c r="A29" t="s">
        <v>132</v>
      </c>
      <c r="B29" t="s">
        <v>117</v>
      </c>
      <c r="C29" t="s">
        <v>118</v>
      </c>
      <c r="D29" s="5">
        <v>4777.1155010000002</v>
      </c>
      <c r="E29" s="5">
        <v>4487.5547660000002</v>
      </c>
      <c r="F29" s="5">
        <v>4500.0521360000002</v>
      </c>
      <c r="G29" t="s">
        <v>59</v>
      </c>
      <c r="H29" t="s">
        <v>133</v>
      </c>
    </row>
    <row r="30" spans="1:8" x14ac:dyDescent="0.25">
      <c r="A30" t="s">
        <v>134</v>
      </c>
      <c r="B30" t="s">
        <v>117</v>
      </c>
      <c r="C30" t="s">
        <v>118</v>
      </c>
      <c r="D30" s="5">
        <v>1390.852042</v>
      </c>
      <c r="E30" s="5">
        <v>1376.975891</v>
      </c>
      <c r="F30" s="5">
        <v>1388.8346630000001</v>
      </c>
      <c r="G30" t="s">
        <v>59</v>
      </c>
      <c r="H30" t="s">
        <v>59</v>
      </c>
    </row>
    <row r="31" spans="1:8" x14ac:dyDescent="0.25">
      <c r="A31" t="s">
        <v>135</v>
      </c>
      <c r="B31" t="s">
        <v>117</v>
      </c>
      <c r="C31" t="s">
        <v>118</v>
      </c>
      <c r="D31" s="5">
        <v>3037.5131110000002</v>
      </c>
      <c r="E31" s="5">
        <v>2848.706878</v>
      </c>
      <c r="F31" s="5">
        <v>2738.1726680000002</v>
      </c>
      <c r="G31" t="s">
        <v>59</v>
      </c>
      <c r="H31" t="s">
        <v>136</v>
      </c>
    </row>
    <row r="32" spans="1:8" x14ac:dyDescent="0.25">
      <c r="A32" t="s">
        <v>216</v>
      </c>
      <c r="B32" t="s">
        <v>117</v>
      </c>
      <c r="D32" s="17">
        <v>3921.4</v>
      </c>
      <c r="E32" s="17">
        <v>3437.35</v>
      </c>
      <c r="F32" s="17">
        <v>3518.51</v>
      </c>
    </row>
    <row r="33" spans="1:8" x14ac:dyDescent="0.25">
      <c r="A33" t="s">
        <v>143</v>
      </c>
      <c r="B33" t="s">
        <v>14</v>
      </c>
      <c r="D33" s="15">
        <v>-27.35</v>
      </c>
      <c r="E33" s="15">
        <v>-25.43</v>
      </c>
      <c r="F33" s="15">
        <v>-27.91</v>
      </c>
    </row>
    <row r="34" spans="1:8" x14ac:dyDescent="0.25">
      <c r="A34" t="s">
        <v>137</v>
      </c>
      <c r="B34" t="s">
        <v>138</v>
      </c>
      <c r="C34" t="s">
        <v>139</v>
      </c>
      <c r="D34" s="5"/>
      <c r="E34" s="5"/>
      <c r="F34" s="5"/>
      <c r="G34" t="s">
        <v>35</v>
      </c>
      <c r="H34" t="s">
        <v>140</v>
      </c>
    </row>
    <row r="35" spans="1:8" x14ac:dyDescent="0.25">
      <c r="A35" t="s">
        <v>217</v>
      </c>
      <c r="B35" t="s">
        <v>14</v>
      </c>
      <c r="C35" t="s">
        <v>118</v>
      </c>
      <c r="D35" s="5">
        <v>18.8875760029483</v>
      </c>
      <c r="E35" s="5">
        <v>13.366378267839099</v>
      </c>
      <c r="F35" s="5">
        <v>11.9365259949513</v>
      </c>
      <c r="G35" t="s">
        <v>22</v>
      </c>
      <c r="H35" t="s">
        <v>218</v>
      </c>
    </row>
    <row r="36" spans="1:8" x14ac:dyDescent="0.25">
      <c r="A36" t="s">
        <v>219</v>
      </c>
      <c r="B36" t="s">
        <v>14</v>
      </c>
      <c r="C36" t="s">
        <v>118</v>
      </c>
      <c r="D36" s="5">
        <v>81.112423997051707</v>
      </c>
      <c r="E36" s="5">
        <v>86.633621732160904</v>
      </c>
      <c r="F36" s="5">
        <v>88.063474005048704</v>
      </c>
      <c r="G36" t="s">
        <v>22</v>
      </c>
      <c r="H36" t="s">
        <v>220</v>
      </c>
    </row>
    <row r="37" spans="1:8" x14ac:dyDescent="0.25">
      <c r="A37" t="s">
        <v>144</v>
      </c>
      <c r="B37" t="s">
        <v>14</v>
      </c>
      <c r="C37" t="s">
        <v>118</v>
      </c>
      <c r="D37" s="5">
        <v>6.4525281606335003</v>
      </c>
      <c r="E37" s="5">
        <v>-0.27771611577615202</v>
      </c>
      <c r="F37" s="5">
        <v>3.1257636617814302</v>
      </c>
      <c r="G37" t="s">
        <v>35</v>
      </c>
      <c r="H37" t="s">
        <v>145</v>
      </c>
    </row>
    <row r="38" spans="1:8" x14ac:dyDescent="0.25">
      <c r="A38" t="s">
        <v>146</v>
      </c>
      <c r="B38" t="s">
        <v>14</v>
      </c>
      <c r="C38" t="s">
        <v>118</v>
      </c>
      <c r="D38" s="5">
        <v>15.044826075474299</v>
      </c>
      <c r="E38" s="5">
        <v>55.566411200249497</v>
      </c>
      <c r="F38" s="5">
        <v>15.2447969493788</v>
      </c>
      <c r="G38" t="s">
        <v>35</v>
      </c>
      <c r="H38" t="s">
        <v>147</v>
      </c>
    </row>
    <row r="39" spans="1:8" x14ac:dyDescent="0.25">
      <c r="A39" t="s">
        <v>148</v>
      </c>
      <c r="B39" t="s">
        <v>14</v>
      </c>
      <c r="C39" t="s">
        <v>118</v>
      </c>
      <c r="D39" s="5">
        <v>1.44217037629284E-2</v>
      </c>
      <c r="E39" s="5">
        <v>1.13711869619717</v>
      </c>
      <c r="F39" s="5">
        <v>-0.52842909722828002</v>
      </c>
      <c r="G39" t="s">
        <v>35</v>
      </c>
      <c r="H39" t="s">
        <v>149</v>
      </c>
    </row>
    <row r="40" spans="1:8" x14ac:dyDescent="0.25">
      <c r="A40" t="s">
        <v>150</v>
      </c>
      <c r="B40" t="s">
        <v>14</v>
      </c>
      <c r="C40" t="s">
        <v>118</v>
      </c>
      <c r="D40" s="5">
        <v>37.697329864175202</v>
      </c>
      <c r="E40" s="5">
        <v>73.980559689142595</v>
      </c>
      <c r="F40" s="5">
        <v>5.6282417893239103</v>
      </c>
      <c r="G40" t="s">
        <v>35</v>
      </c>
      <c r="H40" t="s">
        <v>151</v>
      </c>
    </row>
    <row r="41" spans="1:8" x14ac:dyDescent="0.25">
      <c r="A41" t="s">
        <v>152</v>
      </c>
      <c r="B41" t="s">
        <v>14</v>
      </c>
      <c r="C41" t="s">
        <v>118</v>
      </c>
      <c r="D41" s="5">
        <v>-8.3621086886492009</v>
      </c>
      <c r="E41" s="5">
        <v>-9.5081942536604398</v>
      </c>
      <c r="F41" s="5">
        <v>-4.0649343499936599</v>
      </c>
      <c r="G41" t="s">
        <v>35</v>
      </c>
      <c r="H41" t="s">
        <v>153</v>
      </c>
    </row>
    <row r="42" spans="1:8" x14ac:dyDescent="0.25">
      <c r="A42" t="s">
        <v>164</v>
      </c>
      <c r="B42" t="s">
        <v>59</v>
      </c>
      <c r="C42" t="s">
        <v>102</v>
      </c>
      <c r="D42" s="6">
        <v>0.33</v>
      </c>
      <c r="E42" s="6">
        <v>0.32</v>
      </c>
      <c r="F42" s="6">
        <v>0.27</v>
      </c>
      <c r="G42" t="s">
        <v>165</v>
      </c>
      <c r="H42" t="s">
        <v>166</v>
      </c>
    </row>
    <row r="43" spans="1:8" x14ac:dyDescent="0.25">
      <c r="A43" t="s">
        <v>167</v>
      </c>
      <c r="B43" t="s">
        <v>101</v>
      </c>
      <c r="C43" t="s">
        <v>102</v>
      </c>
      <c r="D43" s="6">
        <v>19</v>
      </c>
      <c r="E43" s="6">
        <v>18</v>
      </c>
      <c r="F43" s="6">
        <v>17</v>
      </c>
      <c r="G43" t="s">
        <v>168</v>
      </c>
      <c r="H43" t="s">
        <v>59</v>
      </c>
    </row>
    <row r="44" spans="1:8" x14ac:dyDescent="0.25">
      <c r="A44" t="s">
        <v>169</v>
      </c>
      <c r="B44" t="s">
        <v>101</v>
      </c>
      <c r="C44" t="s">
        <v>102</v>
      </c>
      <c r="D44" s="6">
        <v>57</v>
      </c>
      <c r="E44" s="6">
        <v>56</v>
      </c>
      <c r="F44" s="6">
        <v>62</v>
      </c>
      <c r="G44" t="s">
        <v>168</v>
      </c>
      <c r="H44" t="s">
        <v>59</v>
      </c>
    </row>
    <row r="45" spans="1:8" x14ac:dyDescent="0.25">
      <c r="A45" t="s">
        <v>221</v>
      </c>
      <c r="B45" t="s">
        <v>14</v>
      </c>
      <c r="C45" t="s">
        <v>102</v>
      </c>
      <c r="D45" s="6">
        <v>57.89</v>
      </c>
      <c r="E45" s="6">
        <v>61.11</v>
      </c>
      <c r="F45" s="6">
        <v>52.94</v>
      </c>
      <c r="G45" t="s">
        <v>59</v>
      </c>
      <c r="H45" t="s">
        <v>222</v>
      </c>
    </row>
    <row r="46" spans="1:8" x14ac:dyDescent="0.25">
      <c r="A46" t="s">
        <v>223</v>
      </c>
      <c r="B46" t="s">
        <v>14</v>
      </c>
      <c r="C46" t="s">
        <v>102</v>
      </c>
      <c r="D46" s="6">
        <v>10.53</v>
      </c>
      <c r="E46" s="6">
        <v>5.56</v>
      </c>
      <c r="F46" s="6">
        <v>5.88</v>
      </c>
      <c r="G46" t="s">
        <v>59</v>
      </c>
      <c r="H46" t="s">
        <v>224</v>
      </c>
    </row>
    <row r="47" spans="1:8" x14ac:dyDescent="0.25">
      <c r="A47" t="s">
        <v>225</v>
      </c>
      <c r="B47" t="s">
        <v>14</v>
      </c>
      <c r="C47" t="s">
        <v>102</v>
      </c>
      <c r="D47" s="6">
        <v>78.95</v>
      </c>
      <c r="E47" s="6">
        <v>83.33</v>
      </c>
      <c r="F47" s="6">
        <v>82.35</v>
      </c>
      <c r="G47" t="s">
        <v>59</v>
      </c>
      <c r="H47" t="s">
        <v>226</v>
      </c>
    </row>
    <row r="48" spans="1:8" x14ac:dyDescent="0.25">
      <c r="A48" t="s">
        <v>188</v>
      </c>
      <c r="B48" t="s">
        <v>59</v>
      </c>
      <c r="C48" t="s">
        <v>176</v>
      </c>
      <c r="D48" s="6">
        <v>1.2999999999999999E-2</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5">
        <v>26315.789473684199</v>
      </c>
      <c r="E51" s="5">
        <v>504991.459459459</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15.79</v>
      </c>
      <c r="E57" s="6">
        <v>16.670000000000002</v>
      </c>
      <c r="F57" s="6">
        <v>0</v>
      </c>
      <c r="G57" t="s">
        <v>59</v>
      </c>
      <c r="H57" t="s">
        <v>211</v>
      </c>
    </row>
    <row r="58" spans="1:8" x14ac:dyDescent="0.25">
      <c r="A58" t="s">
        <v>212</v>
      </c>
      <c r="B58" t="s">
        <v>14</v>
      </c>
      <c r="C58" t="s">
        <v>15</v>
      </c>
      <c r="D58" s="9">
        <v>3.0142566191446001</v>
      </c>
      <c r="E58" s="9">
        <v>3.2191921263071599</v>
      </c>
      <c r="F58" s="9">
        <v>3.5552044242543901</v>
      </c>
      <c r="G58" t="s">
        <v>59</v>
      </c>
      <c r="H58" t="s">
        <v>213</v>
      </c>
    </row>
    <row r="59" spans="1:8" x14ac:dyDescent="0.25">
      <c r="A59" t="s">
        <v>214</v>
      </c>
      <c r="B59" t="s">
        <v>14</v>
      </c>
      <c r="C59" t="s">
        <v>15</v>
      </c>
      <c r="D59" s="5">
        <v>2.0570264765784101</v>
      </c>
      <c r="E59" s="5">
        <v>4.8185359852368297</v>
      </c>
      <c r="F59" s="5">
        <v>3.4169464744222799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[1]呼吸内科!$O$4</f>
        <v>慢性阻塞性肺病</v>
      </c>
      <c r="E72" s="10" t="str">
        <f>[1]呼吸内科!$I$4</f>
        <v>细菌性肺炎</v>
      </c>
      <c r="F72" s="10" t="str">
        <f>[1]呼吸内科!$C$4</f>
        <v>慢性阻塞性肺病</v>
      </c>
      <c r="G72" t="s">
        <v>59</v>
      </c>
      <c r="H72" t="s">
        <v>59</v>
      </c>
    </row>
    <row r="73" spans="1:8" x14ac:dyDescent="0.25">
      <c r="A73" t="s">
        <v>241</v>
      </c>
      <c r="B73" t="s">
        <v>59</v>
      </c>
      <c r="C73" t="s">
        <v>90</v>
      </c>
      <c r="D73" s="10" t="str">
        <f>[1]呼吸内科!$N$4</f>
        <v>J44</v>
      </c>
      <c r="E73" s="10" t="str">
        <f>[1]呼吸内科!$H$4</f>
        <v>J13-J18</v>
      </c>
      <c r="F73" s="10" t="str">
        <f>[1]呼吸内科!$B$4</f>
        <v>J44</v>
      </c>
      <c r="G73" t="s">
        <v>59</v>
      </c>
      <c r="H73" t="s">
        <v>59</v>
      </c>
    </row>
    <row r="74" spans="1:8" x14ac:dyDescent="0.25">
      <c r="A74" t="s">
        <v>242</v>
      </c>
      <c r="B74" t="s">
        <v>14</v>
      </c>
      <c r="C74" t="s">
        <v>90</v>
      </c>
      <c r="D74" s="10">
        <f>[1]呼吸内科!$Q$4</f>
        <v>25.6619144602851</v>
      </c>
      <c r="E74" s="10">
        <f>[1]呼吸内科!$K$4</f>
        <v>27.496411728521601</v>
      </c>
      <c r="F74" s="10">
        <f>[1]呼吸内科!$E$4</f>
        <v>32.530120481927703</v>
      </c>
      <c r="G74" t="s">
        <v>59</v>
      </c>
      <c r="H74" t="s">
        <v>59</v>
      </c>
    </row>
    <row r="75" spans="1:8" x14ac:dyDescent="0.25">
      <c r="A75" t="s">
        <v>243</v>
      </c>
      <c r="B75" t="s">
        <v>59</v>
      </c>
      <c r="C75" t="s">
        <v>90</v>
      </c>
      <c r="D75" s="10" t="str">
        <f>[1]呼吸内科!$O$5</f>
        <v>细菌性肺炎</v>
      </c>
      <c r="E75" s="10" t="str">
        <f>[1]呼吸内科!$I$5</f>
        <v>慢性阻塞性肺病</v>
      </c>
      <c r="F75" s="10" t="str">
        <f>[1]呼吸内科!$C$5</f>
        <v>细菌性肺炎</v>
      </c>
      <c r="G75" t="s">
        <v>59</v>
      </c>
      <c r="H75" t="s">
        <v>59</v>
      </c>
    </row>
    <row r="76" spans="1:8" x14ac:dyDescent="0.25">
      <c r="A76" t="s">
        <v>244</v>
      </c>
      <c r="B76" t="s">
        <v>59</v>
      </c>
      <c r="C76" t="s">
        <v>90</v>
      </c>
      <c r="D76" s="10" t="str">
        <f>[1]呼吸内科!$N$5</f>
        <v>J13-J18</v>
      </c>
      <c r="E76" s="10" t="str">
        <f>[1]呼吸内科!$H$5</f>
        <v>J44</v>
      </c>
      <c r="F76" s="10" t="str">
        <f>[1]呼吸内科!$B$5</f>
        <v>J13-J18</v>
      </c>
      <c r="G76" t="s">
        <v>59</v>
      </c>
      <c r="H76" t="s">
        <v>59</v>
      </c>
    </row>
    <row r="77" spans="1:8" x14ac:dyDescent="0.25">
      <c r="A77" t="s">
        <v>245</v>
      </c>
      <c r="B77" t="s">
        <v>14</v>
      </c>
      <c r="C77" t="s">
        <v>90</v>
      </c>
      <c r="D77" s="10">
        <f>[1]呼吸内科!$Q$5</f>
        <v>24.480651731160901</v>
      </c>
      <c r="E77" s="10">
        <f>[1]呼吸内科!$K$5</f>
        <v>26.204633996309202</v>
      </c>
      <c r="F77" s="10">
        <f>[1]呼吸内科!$E$5</f>
        <v>27.849101323326099</v>
      </c>
      <c r="G77" t="s">
        <v>59</v>
      </c>
      <c r="H77" t="s">
        <v>59</v>
      </c>
    </row>
    <row r="78" spans="1:8" x14ac:dyDescent="0.25">
      <c r="A78" t="s">
        <v>246</v>
      </c>
      <c r="B78" t="s">
        <v>59</v>
      </c>
      <c r="C78" t="s">
        <v>90</v>
      </c>
      <c r="D78" s="10" t="str">
        <f>[1]呼吸内科!$O$6</f>
        <v>肺恶性肿瘤</v>
      </c>
      <c r="E78" s="10" t="str">
        <f>[1]呼吸内科!$I$6</f>
        <v>肺恶性肿瘤</v>
      </c>
      <c r="F78" s="10" t="str">
        <f>[1]呼吸内科!$C$6</f>
        <v>支气管扩张(症)</v>
      </c>
      <c r="G78" t="s">
        <v>59</v>
      </c>
      <c r="H78" t="s">
        <v>59</v>
      </c>
    </row>
    <row r="79" spans="1:8" x14ac:dyDescent="0.25">
      <c r="A79" t="s">
        <v>247</v>
      </c>
      <c r="B79" t="s">
        <v>59</v>
      </c>
      <c r="C79" t="s">
        <v>90</v>
      </c>
      <c r="D79" s="10" t="str">
        <f>[1]呼吸内科!$N$6</f>
        <v>C34</v>
      </c>
      <c r="E79" s="10" t="str">
        <f>[1]呼吸内科!$H$6</f>
        <v>C34</v>
      </c>
      <c r="F79" s="10" t="str">
        <f>[1]呼吸内科!$B$6</f>
        <v>J47.x</v>
      </c>
      <c r="G79" t="s">
        <v>59</v>
      </c>
      <c r="H79" t="s">
        <v>59</v>
      </c>
    </row>
    <row r="80" spans="1:8" x14ac:dyDescent="0.25">
      <c r="A80" t="s">
        <v>248</v>
      </c>
      <c r="B80" t="s">
        <v>14</v>
      </c>
      <c r="C80" t="s">
        <v>90</v>
      </c>
      <c r="D80" s="10">
        <f>[1]呼吸内科!$Q$6</f>
        <v>7.7596741344195497</v>
      </c>
      <c r="E80" s="10">
        <f>[1]呼吸内科!$K$6</f>
        <v>6.6639327455402899</v>
      </c>
      <c r="F80" s="10">
        <f>[1]呼吸内科!$E$6</f>
        <v>6.3401145565870003</v>
      </c>
      <c r="G80" t="s">
        <v>59</v>
      </c>
      <c r="H80" t="s">
        <v>59</v>
      </c>
    </row>
    <row r="81" spans="1:8" x14ac:dyDescent="0.25">
      <c r="A81" t="s">
        <v>249</v>
      </c>
      <c r="B81" t="s">
        <v>59</v>
      </c>
      <c r="C81" t="s">
        <v>90</v>
      </c>
      <c r="D81" s="10" t="str">
        <f>[1]呼吸内科!$O$7</f>
        <v>为肿瘤化学治疗疗程</v>
      </c>
      <c r="E81" s="10" t="str">
        <f>[1]呼吸内科!$I$7</f>
        <v>支气管扩张(症)</v>
      </c>
      <c r="F81" s="10" t="str">
        <f>[1]呼吸内科!$C$7</f>
        <v>肺恶性肿瘤</v>
      </c>
      <c r="G81" t="s">
        <v>59</v>
      </c>
      <c r="H81" t="s">
        <v>59</v>
      </c>
    </row>
    <row r="82" spans="1:8" x14ac:dyDescent="0.25">
      <c r="A82" t="s">
        <v>250</v>
      </c>
      <c r="B82" t="s">
        <v>59</v>
      </c>
      <c r="C82" t="s">
        <v>90</v>
      </c>
      <c r="D82" s="10" t="str">
        <f>[1]呼吸内科!$N$7</f>
        <v>Z51.1</v>
      </c>
      <c r="E82" s="10" t="str">
        <f>[1]呼吸内科!$H$7</f>
        <v>J47.x</v>
      </c>
      <c r="F82" s="10" t="str">
        <f>[1]呼吸内科!$B$7</f>
        <v>C34</v>
      </c>
      <c r="G82" t="s">
        <v>59</v>
      </c>
      <c r="H82" t="s">
        <v>59</v>
      </c>
    </row>
    <row r="83" spans="1:8" x14ac:dyDescent="0.25">
      <c r="A83" t="s">
        <v>251</v>
      </c>
      <c r="B83" t="s">
        <v>14</v>
      </c>
      <c r="C83" t="s">
        <v>90</v>
      </c>
      <c r="D83" s="10">
        <f>[1]呼吸内科!$Q$7</f>
        <v>7.1079429735234196</v>
      </c>
      <c r="E83" s="10">
        <f>[1]呼吸内科!$K$7</f>
        <v>6.1308181258970702</v>
      </c>
      <c r="F83" s="10">
        <f>[1]呼吸内科!$E$7</f>
        <v>5.6883270788070304</v>
      </c>
      <c r="G83" t="s">
        <v>59</v>
      </c>
      <c r="H83" t="s">
        <v>59</v>
      </c>
    </row>
    <row r="84" spans="1:8" x14ac:dyDescent="0.25">
      <c r="A84" t="s">
        <v>252</v>
      </c>
      <c r="B84" t="s">
        <v>59</v>
      </c>
      <c r="C84" t="s">
        <v>90</v>
      </c>
      <c r="D84" s="10" t="str">
        <f>[1]呼吸内科!$O$8</f>
        <v>支气管扩张(症)</v>
      </c>
      <c r="E84" s="10" t="str">
        <f>[1]呼吸内科!$I$8</f>
        <v>为肿瘤化学治疗疗程</v>
      </c>
      <c r="F84" s="10" t="str">
        <f>[1]呼吸内科!$C$8</f>
        <v>为肿瘤化学治疗疗程</v>
      </c>
      <c r="G84" t="s">
        <v>59</v>
      </c>
      <c r="H84" t="s">
        <v>59</v>
      </c>
    </row>
    <row r="85" spans="1:8" x14ac:dyDescent="0.25">
      <c r="A85" t="s">
        <v>253</v>
      </c>
      <c r="B85" t="s">
        <v>59</v>
      </c>
      <c r="C85" t="s">
        <v>90</v>
      </c>
      <c r="D85" s="10" t="str">
        <f>[1]呼吸内科!$N$8</f>
        <v>J47.x</v>
      </c>
      <c r="E85" s="10" t="str">
        <f>[1]呼吸内科!$H$8</f>
        <v>Z51.1</v>
      </c>
      <c r="F85" s="10" t="str">
        <f>[1]呼吸内科!$B$8</f>
        <v>Z51.1</v>
      </c>
      <c r="G85" t="s">
        <v>59</v>
      </c>
      <c r="H85" t="s">
        <v>59</v>
      </c>
    </row>
    <row r="86" spans="1:8" x14ac:dyDescent="0.25">
      <c r="A86" t="s">
        <v>254</v>
      </c>
      <c r="B86" t="s">
        <v>14</v>
      </c>
      <c r="C86" t="s">
        <v>90</v>
      </c>
      <c r="D86" s="10">
        <f>[1]呼吸内科!$Q$8</f>
        <v>6.5987780040733197</v>
      </c>
      <c r="E86" s="10">
        <f>[1]呼吸内科!$K$8</f>
        <v>5.7617387738363703</v>
      </c>
      <c r="F86" s="10">
        <f>[1]呼吸内科!$E$8</f>
        <v>3.89097373098953</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1"/>
  <sheetViews>
    <sheetView topLeftCell="A13"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2.5155531512036799</v>
      </c>
      <c r="E2" s="5">
        <v>1.55270229919379</v>
      </c>
      <c r="F2" s="5">
        <v>1.7918470957145001</v>
      </c>
      <c r="G2" t="s">
        <v>16</v>
      </c>
      <c r="H2" t="s">
        <v>17</v>
      </c>
    </row>
    <row r="3" spans="1:8" x14ac:dyDescent="0.25">
      <c r="A3" t="s">
        <v>18</v>
      </c>
      <c r="B3" t="s">
        <v>14</v>
      </c>
      <c r="C3" t="s">
        <v>15</v>
      </c>
      <c r="D3" s="5">
        <v>0.53763440860215095</v>
      </c>
      <c r="E3" s="5">
        <v>0</v>
      </c>
      <c r="F3" s="5">
        <v>0</v>
      </c>
      <c r="G3" t="s">
        <v>19</v>
      </c>
      <c r="H3" t="s">
        <v>20</v>
      </c>
    </row>
    <row r="4" spans="1:8" x14ac:dyDescent="0.25">
      <c r="A4" t="s">
        <v>21</v>
      </c>
      <c r="B4" t="s">
        <v>14</v>
      </c>
      <c r="C4" t="s">
        <v>15</v>
      </c>
      <c r="D4" s="5">
        <v>2.6881720430107499</v>
      </c>
      <c r="E4" s="5">
        <v>1.92307692307692</v>
      </c>
      <c r="F4" s="5">
        <v>1.6666666666666701</v>
      </c>
      <c r="G4" t="s">
        <v>22</v>
      </c>
      <c r="H4" t="s">
        <v>23</v>
      </c>
    </row>
    <row r="5" spans="1:8" x14ac:dyDescent="0.25">
      <c r="A5" t="s">
        <v>24</v>
      </c>
      <c r="B5" t="s">
        <v>14</v>
      </c>
      <c r="C5" t="s">
        <v>15</v>
      </c>
      <c r="D5" s="6">
        <v>98.43</v>
      </c>
      <c r="E5" s="6">
        <v>96.72</v>
      </c>
      <c r="F5" s="6">
        <v>91.55</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0.37</v>
      </c>
      <c r="E7" s="6">
        <v>0</v>
      </c>
      <c r="F7" s="6">
        <v>0.47</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0.38</v>
      </c>
      <c r="E10" s="6">
        <v>0.49</v>
      </c>
      <c r="F10" s="6">
        <v>0.86</v>
      </c>
      <c r="G10" t="s">
        <v>58</v>
      </c>
      <c r="H10" t="s">
        <v>59</v>
      </c>
    </row>
    <row r="11" spans="1:8" x14ac:dyDescent="0.25">
      <c r="A11" t="s">
        <v>63</v>
      </c>
      <c r="B11" t="s">
        <v>64</v>
      </c>
      <c r="C11" t="s">
        <v>61</v>
      </c>
      <c r="D11" s="11">
        <v>27.0658005901733</v>
      </c>
      <c r="E11" s="11">
        <v>29.411058796363701</v>
      </c>
      <c r="F11" s="11">
        <v>27.0658005901733</v>
      </c>
      <c r="G11" t="s">
        <v>35</v>
      </c>
      <c r="H11" t="s">
        <v>65</v>
      </c>
    </row>
    <row r="12" spans="1:8" x14ac:dyDescent="0.25">
      <c r="A12" t="s">
        <v>66</v>
      </c>
      <c r="B12" t="s">
        <v>14</v>
      </c>
      <c r="C12" t="s">
        <v>61</v>
      </c>
      <c r="D12" s="6">
        <v>82.74</v>
      </c>
      <c r="E12" s="6">
        <v>77.53</v>
      </c>
      <c r="F12" s="6">
        <v>67.97</v>
      </c>
      <c r="G12" t="s">
        <v>39</v>
      </c>
      <c r="H12" t="s">
        <v>67</v>
      </c>
    </row>
    <row r="13" spans="1:8" x14ac:dyDescent="0.25">
      <c r="A13" t="s">
        <v>68</v>
      </c>
      <c r="B13" t="s">
        <v>14</v>
      </c>
      <c r="C13" t="s">
        <v>61</v>
      </c>
      <c r="D13" s="6">
        <v>97.81</v>
      </c>
      <c r="E13" s="6">
        <v>97.11</v>
      </c>
      <c r="F13" s="6">
        <v>92.52</v>
      </c>
      <c r="G13" t="s">
        <v>39</v>
      </c>
      <c r="H13" t="s">
        <v>69</v>
      </c>
    </row>
    <row r="14" spans="1:8" x14ac:dyDescent="0.25">
      <c r="A14" t="s">
        <v>74</v>
      </c>
      <c r="B14" t="s">
        <v>14</v>
      </c>
      <c r="C14" t="s">
        <v>75</v>
      </c>
      <c r="D14" s="18">
        <f>(164200+6600)/80256193*100</f>
        <v>0.21281846747951277</v>
      </c>
      <c r="E14" s="18">
        <f>505843/73459844*100</f>
        <v>0.6885979774201535</v>
      </c>
      <c r="F14" s="18">
        <f>276311/74944117*100</f>
        <v>0.36868937958132192</v>
      </c>
      <c r="G14" t="s">
        <v>35</v>
      </c>
      <c r="H14" t="s">
        <v>76</v>
      </c>
    </row>
    <row r="15" spans="1:8" x14ac:dyDescent="0.25">
      <c r="A15" t="s">
        <v>91</v>
      </c>
      <c r="B15" t="s">
        <v>92</v>
      </c>
      <c r="C15" t="s">
        <v>15</v>
      </c>
      <c r="D15" s="6">
        <v>6.09</v>
      </c>
      <c r="E15" s="6">
        <v>6.33</v>
      </c>
      <c r="F15" s="6">
        <v>6.58</v>
      </c>
      <c r="G15" t="s">
        <v>93</v>
      </c>
      <c r="H15" t="s">
        <v>94</v>
      </c>
    </row>
    <row r="16" spans="1:8" x14ac:dyDescent="0.25">
      <c r="A16" t="s">
        <v>95</v>
      </c>
      <c r="B16" t="s">
        <v>59</v>
      </c>
      <c r="C16" t="s">
        <v>34</v>
      </c>
      <c r="D16" s="6">
        <v>0.99</v>
      </c>
      <c r="E16" s="6">
        <v>0.89</v>
      </c>
      <c r="F16" s="6">
        <v>0.93</v>
      </c>
      <c r="G16" t="s">
        <v>96</v>
      </c>
      <c r="H16" t="s">
        <v>59</v>
      </c>
    </row>
    <row r="17" spans="1:8" x14ac:dyDescent="0.25">
      <c r="A17" t="s">
        <v>97</v>
      </c>
      <c r="B17" t="s">
        <v>98</v>
      </c>
      <c r="C17" t="s">
        <v>34</v>
      </c>
      <c r="D17" s="6">
        <v>215</v>
      </c>
      <c r="E17" s="6">
        <v>219</v>
      </c>
      <c r="F17" s="6">
        <v>219</v>
      </c>
      <c r="G17" t="s">
        <v>99</v>
      </c>
      <c r="H17" t="s">
        <v>59</v>
      </c>
    </row>
    <row r="18" spans="1:8" x14ac:dyDescent="0.25">
      <c r="A18" t="s">
        <v>104</v>
      </c>
      <c r="B18" t="s">
        <v>105</v>
      </c>
      <c r="C18" t="s">
        <v>15</v>
      </c>
      <c r="D18" s="6">
        <v>100</v>
      </c>
      <c r="E18" s="6">
        <v>100</v>
      </c>
      <c r="F18" s="6">
        <v>100</v>
      </c>
      <c r="G18" t="s">
        <v>58</v>
      </c>
      <c r="H18" t="s">
        <v>59</v>
      </c>
    </row>
    <row r="19" spans="1:8" x14ac:dyDescent="0.25">
      <c r="A19" t="s">
        <v>106</v>
      </c>
      <c r="B19" t="s">
        <v>105</v>
      </c>
      <c r="C19" t="s">
        <v>15</v>
      </c>
      <c r="D19" s="6">
        <v>113</v>
      </c>
      <c r="E19" s="6">
        <v>110</v>
      </c>
      <c r="F19" s="6">
        <v>110</v>
      </c>
      <c r="G19" t="s">
        <v>58</v>
      </c>
      <c r="H19" t="s">
        <v>59</v>
      </c>
    </row>
    <row r="20" spans="1:8" x14ac:dyDescent="0.25">
      <c r="A20" t="s">
        <v>107</v>
      </c>
      <c r="B20" t="s">
        <v>14</v>
      </c>
      <c r="C20" t="s">
        <v>15</v>
      </c>
      <c r="D20" s="6">
        <v>112.68</v>
      </c>
      <c r="E20" s="6">
        <v>108.23</v>
      </c>
      <c r="F20" s="6">
        <v>113.21</v>
      </c>
      <c r="G20" t="s">
        <v>58</v>
      </c>
      <c r="H20" t="s">
        <v>108</v>
      </c>
    </row>
    <row r="21" spans="1:8" x14ac:dyDescent="0.25">
      <c r="A21" t="s">
        <v>112</v>
      </c>
      <c r="B21" t="s">
        <v>59</v>
      </c>
      <c r="C21" t="s">
        <v>102</v>
      </c>
      <c r="D21" s="5">
        <f t="shared" ref="D21:F21" si="0">D43/D19</f>
        <v>0.23008849557522124</v>
      </c>
      <c r="E21" s="5">
        <f t="shared" si="0"/>
        <v>0.22727272727272727</v>
      </c>
      <c r="F21" s="5">
        <f t="shared" si="0"/>
        <v>0.21818181818181817</v>
      </c>
      <c r="G21" t="s">
        <v>110</v>
      </c>
      <c r="H21" t="s">
        <v>113</v>
      </c>
    </row>
    <row r="22" spans="1:8" x14ac:dyDescent="0.25">
      <c r="A22" t="s">
        <v>114</v>
      </c>
      <c r="B22" t="s">
        <v>59</v>
      </c>
      <c r="C22" t="s">
        <v>102</v>
      </c>
      <c r="D22" s="5">
        <f t="shared" ref="D22:F22" si="1">D44/D19</f>
        <v>0.48672566371681414</v>
      </c>
      <c r="E22" s="5">
        <f t="shared" si="1"/>
        <v>0.51818181818181819</v>
      </c>
      <c r="F22" s="5">
        <f t="shared" si="1"/>
        <v>0.49090909090909091</v>
      </c>
      <c r="G22" t="s">
        <v>110</v>
      </c>
      <c r="H22" t="s">
        <v>115</v>
      </c>
    </row>
    <row r="23" spans="1:8" x14ac:dyDescent="0.25">
      <c r="A23" t="s">
        <v>116</v>
      </c>
      <c r="B23" t="s">
        <v>117</v>
      </c>
      <c r="C23" t="s">
        <v>118</v>
      </c>
      <c r="D23" s="5">
        <v>20.3878847628866</v>
      </c>
      <c r="E23" s="5">
        <v>25.007659298701299</v>
      </c>
      <c r="F23" s="5">
        <v>20.6473786966292</v>
      </c>
      <c r="G23" t="s">
        <v>119</v>
      </c>
      <c r="H23" t="s">
        <v>59</v>
      </c>
    </row>
    <row r="24" spans="1:8" x14ac:dyDescent="0.25">
      <c r="A24" t="s">
        <v>120</v>
      </c>
      <c r="B24" t="s">
        <v>117</v>
      </c>
      <c r="C24" t="s">
        <v>118</v>
      </c>
      <c r="D24" s="5">
        <v>52.8329320103093</v>
      </c>
      <c r="E24" s="5">
        <v>55.708035337662302</v>
      </c>
      <c r="F24" s="5">
        <v>47.594564044943802</v>
      </c>
      <c r="G24" t="s">
        <v>121</v>
      </c>
      <c r="H24" t="s">
        <v>59</v>
      </c>
    </row>
    <row r="25" spans="1:8" x14ac:dyDescent="0.25">
      <c r="A25" t="s">
        <v>122</v>
      </c>
      <c r="B25" t="s">
        <v>117</v>
      </c>
      <c r="C25" t="s">
        <v>118</v>
      </c>
      <c r="D25" s="5">
        <v>17.6557880724935</v>
      </c>
      <c r="E25" s="5">
        <v>17.5053615090909</v>
      </c>
      <c r="F25" s="5">
        <v>16.705606400000001</v>
      </c>
      <c r="G25" t="s">
        <v>123</v>
      </c>
      <c r="H25" t="s">
        <v>59</v>
      </c>
    </row>
    <row r="26" spans="1:8" x14ac:dyDescent="0.25">
      <c r="A26" t="s">
        <v>124</v>
      </c>
      <c r="B26" t="s">
        <v>117</v>
      </c>
      <c r="C26" t="s">
        <v>118</v>
      </c>
      <c r="D26" s="5">
        <v>45.753007811802497</v>
      </c>
      <c r="E26" s="5">
        <v>38.995624736363602</v>
      </c>
      <c r="F26" s="5">
        <v>38.508329090909101</v>
      </c>
      <c r="G26" t="s">
        <v>125</v>
      </c>
      <c r="H26" t="s">
        <v>59</v>
      </c>
    </row>
    <row r="27" spans="1:8" x14ac:dyDescent="0.25">
      <c r="A27" t="s">
        <v>126</v>
      </c>
      <c r="B27" t="s">
        <v>127</v>
      </c>
      <c r="C27" t="s">
        <v>118</v>
      </c>
      <c r="D27" s="5">
        <v>4.85468914646997</v>
      </c>
      <c r="E27" s="5">
        <v>4.7752328767123302</v>
      </c>
      <c r="F27" s="5">
        <v>5.1888127853881301</v>
      </c>
      <c r="G27" t="s">
        <v>39</v>
      </c>
      <c r="H27" t="s">
        <v>128</v>
      </c>
    </row>
    <row r="28" spans="1:8" x14ac:dyDescent="0.25">
      <c r="A28" t="s">
        <v>129</v>
      </c>
      <c r="B28" t="s">
        <v>14</v>
      </c>
      <c r="C28" t="s">
        <v>118</v>
      </c>
      <c r="D28" s="5">
        <v>24.518507791181499</v>
      </c>
      <c r="E28" s="5">
        <v>28.6714993619137</v>
      </c>
      <c r="F28" s="5">
        <v>26.920701677995702</v>
      </c>
      <c r="G28" t="s">
        <v>130</v>
      </c>
      <c r="H28" t="s">
        <v>131</v>
      </c>
    </row>
    <row r="29" spans="1:8" x14ac:dyDescent="0.25">
      <c r="A29" t="s">
        <v>132</v>
      </c>
      <c r="B29" t="s">
        <v>117</v>
      </c>
      <c r="C29" t="s">
        <v>118</v>
      </c>
      <c r="D29" s="5">
        <v>8065.8449479999999</v>
      </c>
      <c r="E29" s="5">
        <v>6716.0413959999996</v>
      </c>
      <c r="F29" s="5">
        <v>6826.0356879999999</v>
      </c>
      <c r="G29" t="s">
        <v>59</v>
      </c>
      <c r="H29" t="s">
        <v>133</v>
      </c>
    </row>
    <row r="30" spans="1:8" x14ac:dyDescent="0.25">
      <c r="A30" t="s">
        <v>134</v>
      </c>
      <c r="B30" t="s">
        <v>117</v>
      </c>
      <c r="C30" t="s">
        <v>118</v>
      </c>
      <c r="D30" s="5">
        <v>1977.624822</v>
      </c>
      <c r="E30" s="5">
        <v>1925.5897660000001</v>
      </c>
      <c r="F30" s="5">
        <v>1837.616704</v>
      </c>
      <c r="G30" t="s">
        <v>59</v>
      </c>
      <c r="H30" t="s">
        <v>59</v>
      </c>
    </row>
    <row r="31" spans="1:8" x14ac:dyDescent="0.25">
      <c r="A31" t="s">
        <v>135</v>
      </c>
      <c r="B31" t="s">
        <v>117</v>
      </c>
      <c r="C31" t="s">
        <v>118</v>
      </c>
      <c r="D31" s="5">
        <v>5124.7944049999996</v>
      </c>
      <c r="E31" s="5">
        <v>4289.5187210000004</v>
      </c>
      <c r="F31" s="5">
        <v>4235.9161999999997</v>
      </c>
      <c r="G31" t="s">
        <v>59</v>
      </c>
      <c r="H31" t="s">
        <v>136</v>
      </c>
    </row>
    <row r="32" spans="1:8" x14ac:dyDescent="0.25">
      <c r="A32" t="s">
        <v>216</v>
      </c>
      <c r="B32" t="s">
        <v>117</v>
      </c>
      <c r="D32" s="17">
        <v>6117.75</v>
      </c>
      <c r="E32" s="17">
        <v>5490.13</v>
      </c>
      <c r="F32" s="17">
        <v>5742.05</v>
      </c>
    </row>
    <row r="33" spans="1:8" x14ac:dyDescent="0.25">
      <c r="A33" t="s">
        <v>143</v>
      </c>
      <c r="B33" t="s">
        <v>14</v>
      </c>
      <c r="D33" s="15">
        <v>-16.84</v>
      </c>
      <c r="E33" s="15">
        <v>-13.68</v>
      </c>
      <c r="F33" s="15">
        <v>-6.27</v>
      </c>
    </row>
    <row r="34" spans="1:8" x14ac:dyDescent="0.25">
      <c r="A34" t="s">
        <v>137</v>
      </c>
      <c r="B34" t="s">
        <v>138</v>
      </c>
      <c r="C34" t="s">
        <v>139</v>
      </c>
      <c r="D34" s="6"/>
      <c r="E34" s="6"/>
      <c r="F34" s="6"/>
      <c r="G34" t="s">
        <v>35</v>
      </c>
      <c r="H34" t="s">
        <v>140</v>
      </c>
    </row>
    <row r="35" spans="1:8" x14ac:dyDescent="0.25">
      <c r="A35" t="s">
        <v>217</v>
      </c>
      <c r="B35" t="s">
        <v>14</v>
      </c>
      <c r="C35" t="s">
        <v>118</v>
      </c>
      <c r="D35" s="5">
        <v>38.596999893631001</v>
      </c>
      <c r="E35" s="5">
        <v>32.9524420191647</v>
      </c>
      <c r="F35" s="5">
        <v>33.335066852935</v>
      </c>
      <c r="G35" t="s">
        <v>22</v>
      </c>
      <c r="H35" t="s">
        <v>218</v>
      </c>
    </row>
    <row r="36" spans="1:8" x14ac:dyDescent="0.25">
      <c r="A36" t="s">
        <v>219</v>
      </c>
      <c r="B36" t="s">
        <v>14</v>
      </c>
      <c r="C36" t="s">
        <v>118</v>
      </c>
      <c r="D36" s="5">
        <v>61.403000106368999</v>
      </c>
      <c r="E36" s="5">
        <v>67.047557980835293</v>
      </c>
      <c r="F36" s="5">
        <v>66.664933147065</v>
      </c>
      <c r="G36" t="s">
        <v>22</v>
      </c>
      <c r="H36" t="s">
        <v>220</v>
      </c>
    </row>
    <row r="37" spans="1:8" x14ac:dyDescent="0.25">
      <c r="A37" t="s">
        <v>144</v>
      </c>
      <c r="B37" t="s">
        <v>14</v>
      </c>
      <c r="C37" t="s">
        <v>118</v>
      </c>
      <c r="D37" s="5">
        <v>20.0982017889873</v>
      </c>
      <c r="E37" s="5">
        <v>-1.6113934504234699</v>
      </c>
      <c r="F37" s="5">
        <v>10.078079218322101</v>
      </c>
      <c r="G37" t="s">
        <v>35</v>
      </c>
      <c r="H37" t="s">
        <v>145</v>
      </c>
    </row>
    <row r="38" spans="1:8" x14ac:dyDescent="0.25">
      <c r="A38" t="s">
        <v>146</v>
      </c>
      <c r="B38" t="s">
        <v>14</v>
      </c>
      <c r="C38" t="s">
        <v>118</v>
      </c>
      <c r="D38" s="5">
        <v>-1.3261204034281699</v>
      </c>
      <c r="E38" s="5">
        <v>4.6074920372358497</v>
      </c>
      <c r="F38" s="5">
        <v>5.9287112314517199</v>
      </c>
      <c r="G38" t="s">
        <v>35</v>
      </c>
      <c r="H38" t="s">
        <v>147</v>
      </c>
    </row>
    <row r="39" spans="1:8" x14ac:dyDescent="0.25">
      <c r="A39" t="s">
        <v>148</v>
      </c>
      <c r="B39" t="s">
        <v>14</v>
      </c>
      <c r="C39" t="s">
        <v>118</v>
      </c>
      <c r="D39" s="5">
        <v>2.9294660279943902E-2</v>
      </c>
      <c r="E39" s="5">
        <v>-0.64018328347466102</v>
      </c>
      <c r="F39" s="5">
        <v>-6.6195428998186099</v>
      </c>
      <c r="G39" t="s">
        <v>35</v>
      </c>
      <c r="H39" t="s">
        <v>149</v>
      </c>
    </row>
    <row r="40" spans="1:8" x14ac:dyDescent="0.25">
      <c r="A40" t="s">
        <v>150</v>
      </c>
      <c r="B40" t="s">
        <v>14</v>
      </c>
      <c r="C40" t="s">
        <v>118</v>
      </c>
      <c r="D40" s="5">
        <v>10.8708164685155</v>
      </c>
      <c r="E40" s="5">
        <v>3.2399732347232502</v>
      </c>
      <c r="F40" s="5">
        <v>8.2486745362512401</v>
      </c>
      <c r="G40" t="s">
        <v>35</v>
      </c>
      <c r="H40" t="s">
        <v>151</v>
      </c>
    </row>
    <row r="41" spans="1:8" x14ac:dyDescent="0.25">
      <c r="A41" t="s">
        <v>152</v>
      </c>
      <c r="B41" t="s">
        <v>14</v>
      </c>
      <c r="C41" t="s">
        <v>118</v>
      </c>
      <c r="D41" s="5">
        <v>-1.8145608659257699</v>
      </c>
      <c r="E41" s="5">
        <v>-9.7512621729423294</v>
      </c>
      <c r="F41" s="5">
        <v>-10.2520166814286</v>
      </c>
      <c r="G41" t="s">
        <v>35</v>
      </c>
      <c r="H41" t="s">
        <v>153</v>
      </c>
    </row>
    <row r="42" spans="1:8" x14ac:dyDescent="0.25">
      <c r="A42" t="s">
        <v>164</v>
      </c>
      <c r="B42" t="s">
        <v>59</v>
      </c>
      <c r="C42" t="s">
        <v>102</v>
      </c>
      <c r="D42" s="6">
        <v>0.47</v>
      </c>
      <c r="E42" s="6">
        <v>0.44</v>
      </c>
      <c r="F42" s="6">
        <v>0.44</v>
      </c>
      <c r="G42" t="s">
        <v>165</v>
      </c>
      <c r="H42" t="s">
        <v>166</v>
      </c>
    </row>
    <row r="43" spans="1:8" x14ac:dyDescent="0.25">
      <c r="A43" t="s">
        <v>167</v>
      </c>
      <c r="B43" t="s">
        <v>101</v>
      </c>
      <c r="C43" t="s">
        <v>102</v>
      </c>
      <c r="D43" s="6">
        <v>26</v>
      </c>
      <c r="E43" s="6">
        <v>25</v>
      </c>
      <c r="F43" s="6">
        <v>24</v>
      </c>
      <c r="G43" t="s">
        <v>168</v>
      </c>
      <c r="H43" t="s">
        <v>59</v>
      </c>
    </row>
    <row r="44" spans="1:8" x14ac:dyDescent="0.25">
      <c r="A44" t="s">
        <v>169</v>
      </c>
      <c r="B44" t="s">
        <v>101</v>
      </c>
      <c r="C44" t="s">
        <v>102</v>
      </c>
      <c r="D44" s="6">
        <v>55</v>
      </c>
      <c r="E44" s="6">
        <v>57</v>
      </c>
      <c r="F44" s="6">
        <v>54</v>
      </c>
      <c r="G44" t="s">
        <v>168</v>
      </c>
      <c r="H44" t="s">
        <v>59</v>
      </c>
    </row>
    <row r="45" spans="1:8" x14ac:dyDescent="0.25">
      <c r="A45" t="s">
        <v>221</v>
      </c>
      <c r="B45" t="s">
        <v>14</v>
      </c>
      <c r="C45" t="s">
        <v>102</v>
      </c>
      <c r="D45" s="6">
        <v>46.15</v>
      </c>
      <c r="E45" s="6">
        <v>48</v>
      </c>
      <c r="F45" s="6">
        <v>50</v>
      </c>
      <c r="G45" t="s">
        <v>59</v>
      </c>
      <c r="H45" t="s">
        <v>222</v>
      </c>
    </row>
    <row r="46" spans="1:8" x14ac:dyDescent="0.25">
      <c r="A46" t="s">
        <v>223</v>
      </c>
      <c r="B46" t="s">
        <v>14</v>
      </c>
      <c r="C46" t="s">
        <v>102</v>
      </c>
      <c r="D46" s="6">
        <v>7.69</v>
      </c>
      <c r="E46" s="6">
        <v>4</v>
      </c>
      <c r="F46" s="6">
        <v>4.17</v>
      </c>
      <c r="G46" t="s">
        <v>59</v>
      </c>
      <c r="H46" t="s">
        <v>224</v>
      </c>
    </row>
    <row r="47" spans="1:8" x14ac:dyDescent="0.25">
      <c r="A47" t="s">
        <v>225</v>
      </c>
      <c r="B47" t="s">
        <v>14</v>
      </c>
      <c r="C47" t="s">
        <v>102</v>
      </c>
      <c r="D47" s="6">
        <v>57.69</v>
      </c>
      <c r="E47" s="6">
        <v>60</v>
      </c>
      <c r="F47" s="6">
        <v>58.33</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501307.641975309</v>
      </c>
      <c r="E51" s="6">
        <v>707048.29268292699</v>
      </c>
      <c r="F51" s="6">
        <v>12820.5128205128</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3.66513389234514</v>
      </c>
      <c r="E58" s="9">
        <v>4.55359808898179</v>
      </c>
      <c r="F58" s="9">
        <v>4.9425115723458299</v>
      </c>
      <c r="G58" t="s">
        <v>59</v>
      </c>
      <c r="H58" t="s">
        <v>213</v>
      </c>
    </row>
    <row r="59" spans="1:8" x14ac:dyDescent="0.25">
      <c r="A59" t="s">
        <v>214</v>
      </c>
      <c r="B59" t="s">
        <v>14</v>
      </c>
      <c r="C59" t="s">
        <v>15</v>
      </c>
      <c r="D59" s="5">
        <v>0.63565052745469297</v>
      </c>
      <c r="E59" s="5">
        <v>1.38847417139445</v>
      </c>
      <c r="F59" s="5">
        <v>3.1208003583694199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[1]消化内科!$O$4</f>
        <v>肝硬化</v>
      </c>
      <c r="E72" s="10" t="str">
        <f>[1]消化内科!$I$4</f>
        <v>肝硬化</v>
      </c>
      <c r="F72" s="10" t="str">
        <f>[1]消化内科!$C$4</f>
        <v>肝硬化</v>
      </c>
      <c r="G72" t="s">
        <v>59</v>
      </c>
      <c r="H72" t="s">
        <v>59</v>
      </c>
    </row>
    <row r="73" spans="1:8" x14ac:dyDescent="0.25">
      <c r="A73" t="s">
        <v>241</v>
      </c>
      <c r="B73" t="s">
        <v>59</v>
      </c>
      <c r="C73" t="s">
        <v>90</v>
      </c>
      <c r="D73" s="10" t="str">
        <f>[1]消化内科!$N$4</f>
        <v>K70.2-K70.3/K74</v>
      </c>
      <c r="E73" s="10" t="str">
        <f>[1]消化内科!$H$4</f>
        <v>K70.2-K70.3/K74</v>
      </c>
      <c r="F73" s="10" t="str">
        <f>[1]消化内科!$B$4</f>
        <v>K70.2-K70.3/K74</v>
      </c>
      <c r="G73" t="s">
        <v>59</v>
      </c>
      <c r="H73" t="s">
        <v>59</v>
      </c>
    </row>
    <row r="74" spans="1:8" x14ac:dyDescent="0.25">
      <c r="A74" t="s">
        <v>242</v>
      </c>
      <c r="B74" t="s">
        <v>14</v>
      </c>
      <c r="C74" t="s">
        <v>90</v>
      </c>
      <c r="D74" s="10">
        <f>[1]消化内科!$Q$4</f>
        <v>15.796591831214499</v>
      </c>
      <c r="E74" s="10">
        <f>[1]消化内科!$K$4</f>
        <v>15.1537772469394</v>
      </c>
      <c r="F74" s="10">
        <f>[1]消化内科!$E$4</f>
        <v>13.8420188143945</v>
      </c>
      <c r="G74" t="s">
        <v>59</v>
      </c>
      <c r="H74" t="s">
        <v>59</v>
      </c>
    </row>
    <row r="75" spans="1:8" x14ac:dyDescent="0.25">
      <c r="A75" t="s">
        <v>243</v>
      </c>
      <c r="B75" t="s">
        <v>59</v>
      </c>
      <c r="C75" t="s">
        <v>90</v>
      </c>
      <c r="D75" s="10" t="str">
        <f>[1]消化内科!$O$5</f>
        <v>结肠良性肿瘤</v>
      </c>
      <c r="E75" s="10" t="str">
        <f>[1]消化内科!$I$5</f>
        <v>结肠良性肿瘤</v>
      </c>
      <c r="F75" s="10" t="str">
        <f>[1]消化内科!$C$5</f>
        <v>结肠良性肿瘤</v>
      </c>
      <c r="G75" t="s">
        <v>59</v>
      </c>
      <c r="H75" t="s">
        <v>59</v>
      </c>
    </row>
    <row r="76" spans="1:8" x14ac:dyDescent="0.25">
      <c r="A76" t="s">
        <v>244</v>
      </c>
      <c r="B76" t="s">
        <v>59</v>
      </c>
      <c r="C76" t="s">
        <v>90</v>
      </c>
      <c r="D76" s="10" t="str">
        <f>[1]消化内科!$N$5</f>
        <v>D12.0-D12.7</v>
      </c>
      <c r="E76" s="10" t="str">
        <f>[1]消化内科!$H$5</f>
        <v>D12.0-D12.7</v>
      </c>
      <c r="F76" s="10" t="str">
        <f>[1]消化内科!$B$5</f>
        <v>D12.0-D12.7</v>
      </c>
      <c r="G76" t="s">
        <v>59</v>
      </c>
      <c r="H76" t="s">
        <v>59</v>
      </c>
    </row>
    <row r="77" spans="1:8" x14ac:dyDescent="0.25">
      <c r="A77" t="s">
        <v>245</v>
      </c>
      <c r="B77" t="s">
        <v>14</v>
      </c>
      <c r="C77" t="s">
        <v>90</v>
      </c>
      <c r="D77" s="10">
        <f>[1]消化内科!$Q$5</f>
        <v>13.7273464971599</v>
      </c>
      <c r="E77" s="10">
        <f>[1]消化内科!$K$5</f>
        <v>10.465810689758101</v>
      </c>
      <c r="F77" s="10">
        <f>[1]消化内科!$E$5</f>
        <v>9.3026728385844404</v>
      </c>
      <c r="G77" t="s">
        <v>59</v>
      </c>
      <c r="H77" t="s">
        <v>59</v>
      </c>
    </row>
    <row r="78" spans="1:8" x14ac:dyDescent="0.25">
      <c r="A78" t="s">
        <v>246</v>
      </c>
      <c r="B78" t="s">
        <v>59</v>
      </c>
      <c r="C78" t="s">
        <v>90</v>
      </c>
      <c r="D78" s="10" t="str">
        <f>[1]消化内科!$O$6</f>
        <v>胃和十二指肠息肉</v>
      </c>
      <c r="E78" s="10" t="str">
        <f>[1]消化内科!$I$6</f>
        <v>十二指肠溃疡及并发症</v>
      </c>
      <c r="F78" s="10" t="str">
        <f>[1]消化内科!$C$6</f>
        <v>胃炎</v>
      </c>
      <c r="G78" t="s">
        <v>59</v>
      </c>
      <c r="H78" t="s">
        <v>59</v>
      </c>
    </row>
    <row r="79" spans="1:8" x14ac:dyDescent="0.25">
      <c r="A79" t="s">
        <v>247</v>
      </c>
      <c r="B79" t="s">
        <v>59</v>
      </c>
      <c r="C79" t="s">
        <v>90</v>
      </c>
      <c r="D79" s="10" t="str">
        <f>[1]消化内科!$N$6</f>
        <v>K31.7</v>
      </c>
      <c r="E79" s="10" t="str">
        <f>[1]消化内科!$H$6</f>
        <v>K26</v>
      </c>
      <c r="F79" s="10" t="str">
        <f>[1]消化内科!$B$6</f>
        <v>K29.0-K29.7</v>
      </c>
      <c r="G79" t="s">
        <v>59</v>
      </c>
      <c r="H79" t="s">
        <v>59</v>
      </c>
    </row>
    <row r="80" spans="1:8" x14ac:dyDescent="0.25">
      <c r="A80" t="s">
        <v>248</v>
      </c>
      <c r="B80" t="s">
        <v>14</v>
      </c>
      <c r="C80" t="s">
        <v>90</v>
      </c>
      <c r="D80" s="10">
        <f>[1]消化内科!$Q$6</f>
        <v>6.6946172572356</v>
      </c>
      <c r="E80" s="10">
        <f>[1]消化内科!$K$6</f>
        <v>5.0313526425798702</v>
      </c>
      <c r="F80" s="10">
        <f>[1]消化内科!$E$6</f>
        <v>6.0773480662983399</v>
      </c>
      <c r="G80" t="s">
        <v>59</v>
      </c>
      <c r="H80" t="s">
        <v>59</v>
      </c>
    </row>
    <row r="81" spans="1:8" x14ac:dyDescent="0.25">
      <c r="A81" t="s">
        <v>249</v>
      </c>
      <c r="B81" t="s">
        <v>59</v>
      </c>
      <c r="C81" t="s">
        <v>90</v>
      </c>
      <c r="D81" s="10" t="str">
        <f>[1]消化内科!$O$7</f>
        <v>十二指肠溃疡及并发症</v>
      </c>
      <c r="E81" s="10" t="str">
        <f>[1]消化内科!$I$7</f>
        <v>胃和十二指肠息肉</v>
      </c>
      <c r="F81" s="10" t="str">
        <f>[1]消化内科!$C$7</f>
        <v>胃和十二指肠息肉</v>
      </c>
      <c r="G81" t="s">
        <v>59</v>
      </c>
      <c r="H81" t="s">
        <v>59</v>
      </c>
    </row>
    <row r="82" spans="1:8" x14ac:dyDescent="0.25">
      <c r="A82" t="s">
        <v>250</v>
      </c>
      <c r="B82" t="s">
        <v>59</v>
      </c>
      <c r="C82" t="s">
        <v>90</v>
      </c>
      <c r="D82" s="10" t="str">
        <f>[1]消化内科!$N$7</f>
        <v>K26</v>
      </c>
      <c r="E82" s="10" t="str">
        <f>[1]消化内科!$H$7</f>
        <v>K31.7</v>
      </c>
      <c r="F82" s="10" t="str">
        <f>[1]消化内科!$B$7</f>
        <v>K31.7</v>
      </c>
      <c r="G82" t="s">
        <v>59</v>
      </c>
      <c r="H82" t="s">
        <v>59</v>
      </c>
    </row>
    <row r="83" spans="1:8" x14ac:dyDescent="0.25">
      <c r="A83" t="s">
        <v>251</v>
      </c>
      <c r="B83" t="s">
        <v>14</v>
      </c>
      <c r="C83" t="s">
        <v>90</v>
      </c>
      <c r="D83" s="10">
        <f>[1]消化内科!$Q$7</f>
        <v>4.6659453611036001</v>
      </c>
      <c r="E83" s="10">
        <f>[1]消化内科!$K$7</f>
        <v>4.6431770677814299</v>
      </c>
      <c r="F83" s="10">
        <f>[1]消化内科!$E$7</f>
        <v>5.9280274749887996</v>
      </c>
      <c r="G83" t="s">
        <v>59</v>
      </c>
      <c r="H83" t="s">
        <v>59</v>
      </c>
    </row>
    <row r="84" spans="1:8" x14ac:dyDescent="0.25">
      <c r="A84" t="s">
        <v>252</v>
      </c>
      <c r="B84" t="s">
        <v>59</v>
      </c>
      <c r="C84" t="s">
        <v>90</v>
      </c>
      <c r="D84" s="10" t="str">
        <f>[1]消化内科!$O$8</f>
        <v>结肠息肉</v>
      </c>
      <c r="E84" s="10" t="str">
        <f>[1]消化内科!$I$8</f>
        <v>结肠息肉</v>
      </c>
      <c r="F84" s="10" t="str">
        <f>[1]消化内科!$C$8</f>
        <v>十二指肠溃疡及并发症</v>
      </c>
      <c r="G84" t="s">
        <v>59</v>
      </c>
      <c r="H84" t="s">
        <v>59</v>
      </c>
    </row>
    <row r="85" spans="1:8" x14ac:dyDescent="0.25">
      <c r="A85" t="s">
        <v>253</v>
      </c>
      <c r="B85" t="s">
        <v>59</v>
      </c>
      <c r="C85" t="s">
        <v>90</v>
      </c>
      <c r="D85" s="10" t="str">
        <f>[1]消化内科!$N$8</f>
        <v>K63.5</v>
      </c>
      <c r="E85" s="10" t="str">
        <f>[1]消化内科!$H$8</f>
        <v>K63.5</v>
      </c>
      <c r="F85" s="10" t="str">
        <f>[1]消化内科!$B$8</f>
        <v>K26</v>
      </c>
      <c r="G85" t="s">
        <v>59</v>
      </c>
      <c r="H85" t="s">
        <v>59</v>
      </c>
    </row>
    <row r="86" spans="1:8" x14ac:dyDescent="0.25">
      <c r="A86" t="s">
        <v>254</v>
      </c>
      <c r="B86" t="s">
        <v>14</v>
      </c>
      <c r="C86" t="s">
        <v>90</v>
      </c>
      <c r="D86" s="10">
        <f>[1]消化内科!$Q$8</f>
        <v>4.5847984852583199</v>
      </c>
      <c r="E86" s="10">
        <f>[1]消化内科!$K$8</f>
        <v>3.5682293221857302</v>
      </c>
      <c r="F86" s="10">
        <f>[1]消化内科!$E$8</f>
        <v>4.8230550992981902</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1.8672722684834699</v>
      </c>
      <c r="E2" s="5">
        <v>0.81455335324463796</v>
      </c>
      <c r="F2" s="5">
        <v>1.46287606955562</v>
      </c>
      <c r="G2" t="s">
        <v>16</v>
      </c>
      <c r="H2" t="s">
        <v>17</v>
      </c>
    </row>
    <row r="3" spans="1:8" x14ac:dyDescent="0.25">
      <c r="A3" t="s">
        <v>18</v>
      </c>
      <c r="B3" t="s">
        <v>14</v>
      </c>
      <c r="C3" t="s">
        <v>15</v>
      </c>
      <c r="D3" s="5">
        <v>0</v>
      </c>
      <c r="E3" s="5">
        <v>3.3333333333333299</v>
      </c>
      <c r="F3" s="5">
        <v>3.7735849056603801</v>
      </c>
      <c r="G3" t="s">
        <v>19</v>
      </c>
      <c r="H3" t="s">
        <v>20</v>
      </c>
    </row>
    <row r="4" spans="1:8" x14ac:dyDescent="0.25">
      <c r="A4" t="s">
        <v>21</v>
      </c>
      <c r="B4" t="s">
        <v>14</v>
      </c>
      <c r="C4" t="s">
        <v>15</v>
      </c>
      <c r="D4" s="5">
        <v>10.8108108108108</v>
      </c>
      <c r="E4" s="5">
        <v>16.6666666666667</v>
      </c>
      <c r="F4" s="5">
        <v>5.6603773584905701</v>
      </c>
      <c r="G4" t="s">
        <v>22</v>
      </c>
      <c r="H4" t="s">
        <v>23</v>
      </c>
    </row>
    <row r="5" spans="1:8" x14ac:dyDescent="0.25">
      <c r="A5" t="s">
        <v>24</v>
      </c>
      <c r="B5" t="s">
        <v>14</v>
      </c>
      <c r="C5" t="s">
        <v>15</v>
      </c>
      <c r="D5" s="5">
        <v>95.38</v>
      </c>
      <c r="E5" s="5">
        <v>90.36</v>
      </c>
      <c r="F5" s="5">
        <v>92.88</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2.25</v>
      </c>
      <c r="E10" s="6">
        <v>2.04</v>
      </c>
      <c r="F10" s="6">
        <v>2.2599999999999998</v>
      </c>
      <c r="G10" t="s">
        <v>58</v>
      </c>
      <c r="H10" t="s">
        <v>59</v>
      </c>
    </row>
    <row r="11" spans="1:8" x14ac:dyDescent="0.25">
      <c r="A11" t="s">
        <v>63</v>
      </c>
      <c r="B11" t="s">
        <v>64</v>
      </c>
      <c r="C11" t="s">
        <v>61</v>
      </c>
      <c r="D11" s="6">
        <v>8.5874180114963004</v>
      </c>
      <c r="E11" s="6">
        <v>5.7497489184236299</v>
      </c>
      <c r="F11" s="6">
        <v>3.7235826607189599</v>
      </c>
      <c r="G11" t="s">
        <v>35</v>
      </c>
      <c r="H11" t="s">
        <v>65</v>
      </c>
    </row>
    <row r="12" spans="1:8" x14ac:dyDescent="0.25">
      <c r="A12" t="s">
        <v>66</v>
      </c>
      <c r="B12" t="s">
        <v>14</v>
      </c>
      <c r="C12" t="s">
        <v>61</v>
      </c>
      <c r="D12" s="6">
        <v>76.62</v>
      </c>
      <c r="E12" s="6">
        <v>56.28</v>
      </c>
      <c r="F12" s="6">
        <v>46.84</v>
      </c>
      <c r="G12" t="s">
        <v>39</v>
      </c>
      <c r="H12" t="s">
        <v>67</v>
      </c>
    </row>
    <row r="13" spans="1:8" x14ac:dyDescent="0.25">
      <c r="A13" t="s">
        <v>68</v>
      </c>
      <c r="B13" t="s">
        <v>14</v>
      </c>
      <c r="C13" t="s">
        <v>61</v>
      </c>
      <c r="D13" s="6">
        <v>89.87</v>
      </c>
      <c r="E13" s="6">
        <v>85.15</v>
      </c>
      <c r="F13" s="6">
        <v>85.3</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15.06</v>
      </c>
      <c r="E15" s="6">
        <v>14.34</v>
      </c>
      <c r="F15" s="6">
        <v>15.2</v>
      </c>
      <c r="G15" t="s">
        <v>93</v>
      </c>
      <c r="H15" t="s">
        <v>94</v>
      </c>
    </row>
    <row r="16" spans="1:8" x14ac:dyDescent="0.25">
      <c r="A16" t="s">
        <v>95</v>
      </c>
      <c r="B16" t="s">
        <v>59</v>
      </c>
      <c r="C16" t="s">
        <v>34</v>
      </c>
      <c r="D16" s="6">
        <v>0.89</v>
      </c>
      <c r="E16" s="6">
        <v>0.79</v>
      </c>
      <c r="F16" s="6">
        <v>0.9</v>
      </c>
      <c r="G16" t="s">
        <v>96</v>
      </c>
      <c r="H16" t="s">
        <v>59</v>
      </c>
    </row>
    <row r="17" spans="1:8" x14ac:dyDescent="0.25">
      <c r="A17" t="s">
        <v>97</v>
      </c>
      <c r="B17" t="s">
        <v>98</v>
      </c>
      <c r="C17" t="s">
        <v>34</v>
      </c>
      <c r="D17" s="6">
        <v>182</v>
      </c>
      <c r="E17" s="6">
        <v>167</v>
      </c>
      <c r="F17" s="6">
        <v>150</v>
      </c>
      <c r="G17" t="s">
        <v>99</v>
      </c>
      <c r="H17" t="s">
        <v>59</v>
      </c>
    </row>
    <row r="18" spans="1:8" x14ac:dyDescent="0.25">
      <c r="A18" t="s">
        <v>104</v>
      </c>
      <c r="B18" t="s">
        <v>105</v>
      </c>
      <c r="C18" t="s">
        <v>15</v>
      </c>
      <c r="D18" s="6">
        <v>125</v>
      </c>
      <c r="E18" s="6">
        <v>125</v>
      </c>
      <c r="F18" s="6">
        <v>125</v>
      </c>
      <c r="G18" t="s">
        <v>58</v>
      </c>
      <c r="H18" t="s">
        <v>59</v>
      </c>
    </row>
    <row r="19" spans="1:8" x14ac:dyDescent="0.25">
      <c r="A19" t="s">
        <v>106</v>
      </c>
      <c r="B19" t="s">
        <v>105</v>
      </c>
      <c r="C19" t="s">
        <v>15</v>
      </c>
      <c r="D19" s="6">
        <v>140</v>
      </c>
      <c r="E19" s="6">
        <v>135</v>
      </c>
      <c r="F19" s="6">
        <v>138</v>
      </c>
      <c r="G19" t="s">
        <v>58</v>
      </c>
      <c r="H19" t="s">
        <v>59</v>
      </c>
    </row>
    <row r="20" spans="1:8" x14ac:dyDescent="0.25">
      <c r="A20" t="s">
        <v>107</v>
      </c>
      <c r="B20" t="s">
        <v>14</v>
      </c>
      <c r="C20" t="s">
        <v>15</v>
      </c>
      <c r="D20" s="6">
        <v>116.28</v>
      </c>
      <c r="E20" s="6">
        <v>105.9</v>
      </c>
      <c r="F20" s="6">
        <v>107.69</v>
      </c>
      <c r="G20" t="s">
        <v>58</v>
      </c>
      <c r="H20" t="s">
        <v>108</v>
      </c>
    </row>
    <row r="21" spans="1:8" x14ac:dyDescent="0.25">
      <c r="A21" t="s">
        <v>112</v>
      </c>
      <c r="B21" t="s">
        <v>59</v>
      </c>
      <c r="C21" t="s">
        <v>102</v>
      </c>
      <c r="D21" s="5">
        <f t="shared" ref="D21:F21" si="0">D43/D19</f>
        <v>0.12857142857142856</v>
      </c>
      <c r="E21" s="5">
        <f t="shared" si="0"/>
        <v>0.13333333333333333</v>
      </c>
      <c r="F21" s="5">
        <f t="shared" si="0"/>
        <v>0.13043478260869565</v>
      </c>
      <c r="G21" t="s">
        <v>110</v>
      </c>
      <c r="H21" t="s">
        <v>113</v>
      </c>
    </row>
    <row r="22" spans="1:8" x14ac:dyDescent="0.25">
      <c r="A22" t="s">
        <v>114</v>
      </c>
      <c r="B22" t="s">
        <v>59</v>
      </c>
      <c r="C22" t="s">
        <v>102</v>
      </c>
      <c r="D22" s="5">
        <f t="shared" ref="D22:F22" si="1">D44/D19</f>
        <v>0.37857142857142856</v>
      </c>
      <c r="E22" s="5">
        <f t="shared" si="1"/>
        <v>0.38518518518518519</v>
      </c>
      <c r="F22" s="5">
        <f t="shared" si="1"/>
        <v>0.36231884057971014</v>
      </c>
      <c r="G22" t="s">
        <v>110</v>
      </c>
      <c r="H22" t="s">
        <v>115</v>
      </c>
    </row>
    <row r="23" spans="1:8" x14ac:dyDescent="0.25">
      <c r="A23" t="s">
        <v>116</v>
      </c>
      <c r="B23" t="s">
        <v>117</v>
      </c>
      <c r="C23" t="s">
        <v>118</v>
      </c>
      <c r="D23" s="5">
        <v>26.955267343434301</v>
      </c>
      <c r="E23" s="5">
        <v>25.383986910000001</v>
      </c>
      <c r="F23" s="5">
        <v>25.0143388921569</v>
      </c>
      <c r="G23" t="s">
        <v>119</v>
      </c>
      <c r="H23" t="s">
        <v>59</v>
      </c>
    </row>
    <row r="24" spans="1:8" x14ac:dyDescent="0.25">
      <c r="A24" t="s">
        <v>120</v>
      </c>
      <c r="B24" t="s">
        <v>117</v>
      </c>
      <c r="C24" t="s">
        <v>118</v>
      </c>
      <c r="D24" s="5">
        <v>33.926298040403999</v>
      </c>
      <c r="E24" s="5">
        <v>31.59773671</v>
      </c>
      <c r="F24" s="5">
        <v>31.469714480392199</v>
      </c>
      <c r="G24" t="s">
        <v>121</v>
      </c>
      <c r="H24" t="s">
        <v>59</v>
      </c>
    </row>
    <row r="25" spans="1:8" x14ac:dyDescent="0.25">
      <c r="A25" t="s">
        <v>122</v>
      </c>
      <c r="B25" t="s">
        <v>117</v>
      </c>
      <c r="C25" t="s">
        <v>118</v>
      </c>
      <c r="D25" s="5">
        <v>19.2871600679387</v>
      </c>
      <c r="E25" s="5">
        <v>18.562330464351</v>
      </c>
      <c r="F25" s="5">
        <v>18.488859181159398</v>
      </c>
      <c r="G25" t="s">
        <v>123</v>
      </c>
      <c r="H25" t="s">
        <v>59</v>
      </c>
    </row>
    <row r="26" spans="1:8" x14ac:dyDescent="0.25">
      <c r="A26" t="s">
        <v>124</v>
      </c>
      <c r="B26" t="s">
        <v>117</v>
      </c>
      <c r="C26" t="s">
        <v>118</v>
      </c>
      <c r="D26" s="5">
        <v>24.275104842440001</v>
      </c>
      <c r="E26" s="5">
        <v>23.1062060036563</v>
      </c>
      <c r="F26" s="5">
        <v>23.260223746376798</v>
      </c>
      <c r="G26" t="s">
        <v>125</v>
      </c>
      <c r="H26" t="s">
        <v>59</v>
      </c>
    </row>
    <row r="27" spans="1:8" x14ac:dyDescent="0.25">
      <c r="A27" t="s">
        <v>126</v>
      </c>
      <c r="B27" t="s">
        <v>127</v>
      </c>
      <c r="C27" t="s">
        <v>118</v>
      </c>
      <c r="D27" s="5">
        <v>8.9375951293759499</v>
      </c>
      <c r="E27" s="5">
        <v>8.0675799086757998</v>
      </c>
      <c r="F27" s="5">
        <v>8.2561643835616394</v>
      </c>
      <c r="G27" t="s">
        <v>39</v>
      </c>
      <c r="H27" t="s">
        <v>128</v>
      </c>
    </row>
    <row r="28" spans="1:8" x14ac:dyDescent="0.25">
      <c r="A28" t="s">
        <v>129</v>
      </c>
      <c r="B28" t="s">
        <v>14</v>
      </c>
      <c r="C28" t="s">
        <v>118</v>
      </c>
      <c r="D28" s="5">
        <v>72.4586446267664</v>
      </c>
      <c r="E28" s="5">
        <v>73.687297699883999</v>
      </c>
      <c r="F28" s="5">
        <v>71.3960927913175</v>
      </c>
      <c r="G28" t="s">
        <v>130</v>
      </c>
      <c r="H28" t="s">
        <v>131</v>
      </c>
    </row>
    <row r="29" spans="1:8" x14ac:dyDescent="0.25">
      <c r="A29" t="s">
        <v>132</v>
      </c>
      <c r="B29" t="s">
        <v>117</v>
      </c>
      <c r="C29" t="s">
        <v>118</v>
      </c>
      <c r="D29" s="5">
        <v>3682.8890200000001</v>
      </c>
      <c r="E29" s="5">
        <v>3444.825323</v>
      </c>
      <c r="F29" s="5">
        <v>3573.6725459999998</v>
      </c>
      <c r="G29" t="s">
        <v>59</v>
      </c>
      <c r="H29" t="s">
        <v>133</v>
      </c>
    </row>
    <row r="30" spans="1:8" x14ac:dyDescent="0.25">
      <c r="A30" t="s">
        <v>134</v>
      </c>
      <c r="B30" t="s">
        <v>117</v>
      </c>
      <c r="C30" t="s">
        <v>118</v>
      </c>
      <c r="D30" s="5">
        <v>2668.5714670000002</v>
      </c>
      <c r="E30" s="5">
        <v>2538.3986909999999</v>
      </c>
      <c r="F30" s="5">
        <v>2551.462567</v>
      </c>
      <c r="G30" t="s">
        <v>59</v>
      </c>
      <c r="H30" t="s">
        <v>59</v>
      </c>
    </row>
    <row r="31" spans="1:8" x14ac:dyDescent="0.25">
      <c r="A31" t="s">
        <v>135</v>
      </c>
      <c r="B31" t="s">
        <v>117</v>
      </c>
      <c r="C31" t="s">
        <v>118</v>
      </c>
      <c r="D31" s="5">
        <v>3358.7035059999998</v>
      </c>
      <c r="E31" s="5">
        <v>3159.7736709999999</v>
      </c>
      <c r="F31" s="5">
        <v>3209.9108769999998</v>
      </c>
      <c r="G31" t="s">
        <v>59</v>
      </c>
      <c r="H31" t="s">
        <v>136</v>
      </c>
    </row>
    <row r="32" spans="1:8" x14ac:dyDescent="0.25">
      <c r="A32" t="s">
        <v>216</v>
      </c>
      <c r="B32" t="s">
        <v>117</v>
      </c>
      <c r="D32" s="17">
        <v>3124.12</v>
      </c>
      <c r="E32" s="17">
        <v>2736.18</v>
      </c>
      <c r="F32" s="17">
        <v>2750.05</v>
      </c>
    </row>
    <row r="33" spans="1:8" x14ac:dyDescent="0.25">
      <c r="A33" t="s">
        <v>143</v>
      </c>
      <c r="B33" t="s">
        <v>14</v>
      </c>
      <c r="D33" s="15">
        <v>-50.44</v>
      </c>
      <c r="E33" s="15">
        <v>-56.89</v>
      </c>
      <c r="F33" s="15">
        <v>-63.62</v>
      </c>
    </row>
    <row r="34" spans="1:8" x14ac:dyDescent="0.25">
      <c r="A34" t="s">
        <v>137</v>
      </c>
      <c r="B34" t="s">
        <v>138</v>
      </c>
      <c r="C34" t="s">
        <v>139</v>
      </c>
      <c r="D34" s="6"/>
      <c r="E34" s="6"/>
      <c r="F34" s="6"/>
      <c r="G34" t="s">
        <v>35</v>
      </c>
      <c r="H34" t="s">
        <v>140</v>
      </c>
    </row>
    <row r="35" spans="1:8" x14ac:dyDescent="0.25">
      <c r="A35" t="s">
        <v>217</v>
      </c>
      <c r="B35" t="s">
        <v>14</v>
      </c>
      <c r="C35" t="s">
        <v>118</v>
      </c>
      <c r="D35" s="5">
        <v>9.5270810522549993</v>
      </c>
      <c r="E35" s="5">
        <v>9.1482821754675108</v>
      </c>
      <c r="F35" s="5">
        <v>9.4998811343248306</v>
      </c>
      <c r="G35" t="s">
        <v>22</v>
      </c>
      <c r="H35" t="s">
        <v>218</v>
      </c>
    </row>
    <row r="36" spans="1:8" x14ac:dyDescent="0.25">
      <c r="A36" t="s">
        <v>219</v>
      </c>
      <c r="B36" t="s">
        <v>14</v>
      </c>
      <c r="C36" t="s">
        <v>118</v>
      </c>
      <c r="D36" s="5">
        <v>90.472918947745001</v>
      </c>
      <c r="E36" s="5">
        <v>90.8517178245325</v>
      </c>
      <c r="F36" s="5">
        <v>90.500118865675205</v>
      </c>
      <c r="G36" t="s">
        <v>22</v>
      </c>
      <c r="H36" t="s">
        <v>220</v>
      </c>
    </row>
    <row r="37" spans="1:8" x14ac:dyDescent="0.25">
      <c r="A37" t="s">
        <v>144</v>
      </c>
      <c r="B37" t="s">
        <v>14</v>
      </c>
      <c r="C37" t="s">
        <v>118</v>
      </c>
      <c r="D37" s="5">
        <v>6.9107625112520301</v>
      </c>
      <c r="E37" s="5">
        <v>-3.60545688899838</v>
      </c>
      <c r="F37" s="5">
        <v>4.7613132377344902</v>
      </c>
      <c r="G37" t="s">
        <v>35</v>
      </c>
      <c r="H37" t="s">
        <v>145</v>
      </c>
    </row>
    <row r="38" spans="1:8" x14ac:dyDescent="0.25">
      <c r="A38" t="s">
        <v>146</v>
      </c>
      <c r="B38" t="s">
        <v>14</v>
      </c>
      <c r="C38" t="s">
        <v>118</v>
      </c>
      <c r="D38" s="5">
        <v>-2.4611201490756698</v>
      </c>
      <c r="E38" s="5">
        <v>-7.2060327543287697</v>
      </c>
      <c r="F38" s="5">
        <v>-4.7989525793891898</v>
      </c>
      <c r="G38" t="s">
        <v>35</v>
      </c>
      <c r="H38" t="s">
        <v>147</v>
      </c>
    </row>
    <row r="39" spans="1:8" x14ac:dyDescent="0.25">
      <c r="A39" t="s">
        <v>148</v>
      </c>
      <c r="B39" t="s">
        <v>14</v>
      </c>
      <c r="C39" t="s">
        <v>118</v>
      </c>
      <c r="D39" s="5">
        <v>0.92652141394843002</v>
      </c>
      <c r="E39" s="5">
        <v>-6.5719978748400703</v>
      </c>
      <c r="F39" s="5">
        <v>-10.1465348124973</v>
      </c>
      <c r="G39" t="s">
        <v>35</v>
      </c>
      <c r="H39" t="s">
        <v>149</v>
      </c>
    </row>
    <row r="40" spans="1:8" x14ac:dyDescent="0.25">
      <c r="A40" t="s">
        <v>150</v>
      </c>
      <c r="B40" t="s">
        <v>14</v>
      </c>
      <c r="C40" t="s">
        <v>118</v>
      </c>
      <c r="D40" s="5">
        <v>-0.57194173352261002</v>
      </c>
      <c r="E40" s="5">
        <v>8.0871156087891496</v>
      </c>
      <c r="F40" s="5">
        <v>5.8299153980982101</v>
      </c>
      <c r="G40" t="s">
        <v>35</v>
      </c>
      <c r="H40" t="s">
        <v>151</v>
      </c>
    </row>
    <row r="41" spans="1:8" x14ac:dyDescent="0.25">
      <c r="A41" t="s">
        <v>152</v>
      </c>
      <c r="B41" t="s">
        <v>14</v>
      </c>
      <c r="C41" t="s">
        <v>118</v>
      </c>
      <c r="D41" s="5">
        <v>7.5083865171219504</v>
      </c>
      <c r="E41" s="5">
        <v>-33.5387124931367</v>
      </c>
      <c r="F41" s="5">
        <v>-32.745322178805601</v>
      </c>
      <c r="G41" t="s">
        <v>35</v>
      </c>
      <c r="H41" t="s">
        <v>153</v>
      </c>
    </row>
    <row r="42" spans="1:8" x14ac:dyDescent="0.25">
      <c r="A42" t="s">
        <v>164</v>
      </c>
      <c r="B42" t="s">
        <v>59</v>
      </c>
      <c r="C42" t="s">
        <v>102</v>
      </c>
      <c r="D42" s="6">
        <v>0.34</v>
      </c>
      <c r="E42" s="6">
        <v>0.35</v>
      </c>
      <c r="F42" s="6">
        <v>0.36</v>
      </c>
      <c r="G42" t="s">
        <v>165</v>
      </c>
      <c r="H42" t="s">
        <v>166</v>
      </c>
    </row>
    <row r="43" spans="1:8" x14ac:dyDescent="0.25">
      <c r="A43" t="s">
        <v>167</v>
      </c>
      <c r="B43" t="s">
        <v>101</v>
      </c>
      <c r="C43" t="s">
        <v>102</v>
      </c>
      <c r="D43" s="6">
        <v>18</v>
      </c>
      <c r="E43" s="6">
        <v>18</v>
      </c>
      <c r="F43" s="6">
        <v>18</v>
      </c>
      <c r="G43" t="s">
        <v>168</v>
      </c>
      <c r="H43" t="s">
        <v>59</v>
      </c>
    </row>
    <row r="44" spans="1:8" x14ac:dyDescent="0.25">
      <c r="A44" t="s">
        <v>169</v>
      </c>
      <c r="B44" t="s">
        <v>101</v>
      </c>
      <c r="C44" t="s">
        <v>102</v>
      </c>
      <c r="D44" s="6">
        <v>53</v>
      </c>
      <c r="E44" s="6">
        <v>52</v>
      </c>
      <c r="F44" s="6">
        <v>50</v>
      </c>
      <c r="G44" t="s">
        <v>168</v>
      </c>
      <c r="H44" t="s">
        <v>59</v>
      </c>
    </row>
    <row r="45" spans="1:8" x14ac:dyDescent="0.25">
      <c r="A45" t="s">
        <v>221</v>
      </c>
      <c r="B45" t="s">
        <v>14</v>
      </c>
      <c r="C45" t="s">
        <v>102</v>
      </c>
      <c r="D45" s="6">
        <v>33.33</v>
      </c>
      <c r="E45" s="6">
        <v>33.33</v>
      </c>
      <c r="F45" s="6">
        <v>27.78</v>
      </c>
      <c r="G45" t="s">
        <v>59</v>
      </c>
      <c r="H45" t="s">
        <v>222</v>
      </c>
    </row>
    <row r="46" spans="1:8" x14ac:dyDescent="0.25">
      <c r="A46" t="s">
        <v>223</v>
      </c>
      <c r="B46" t="s">
        <v>14</v>
      </c>
      <c r="C46" t="s">
        <v>102</v>
      </c>
      <c r="D46" s="6">
        <v>5.56</v>
      </c>
      <c r="E46" s="6">
        <v>5.56</v>
      </c>
      <c r="F46" s="6">
        <v>5.56</v>
      </c>
      <c r="G46" t="s">
        <v>59</v>
      </c>
      <c r="H46" t="s">
        <v>224</v>
      </c>
    </row>
    <row r="47" spans="1:8" x14ac:dyDescent="0.25">
      <c r="A47" t="s">
        <v>225</v>
      </c>
      <c r="B47" t="s">
        <v>14</v>
      </c>
      <c r="C47" t="s">
        <v>102</v>
      </c>
      <c r="D47" s="6">
        <v>50</v>
      </c>
      <c r="E47" s="6">
        <v>50</v>
      </c>
      <c r="F47" s="6">
        <v>50</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11">
        <v>1.4085E-2</v>
      </c>
      <c r="E50" s="11">
        <v>1.4286E-2</v>
      </c>
      <c r="F50" s="11">
        <v>1.4706E-2</v>
      </c>
      <c r="G50" t="s">
        <v>191</v>
      </c>
      <c r="H50" t="s">
        <v>194</v>
      </c>
    </row>
    <row r="51" spans="1:8" x14ac:dyDescent="0.25">
      <c r="A51" t="s">
        <v>195</v>
      </c>
      <c r="B51" t="s">
        <v>196</v>
      </c>
      <c r="C51" t="s">
        <v>176</v>
      </c>
      <c r="D51" s="6">
        <v>0</v>
      </c>
      <c r="E51" s="6">
        <v>14285.714285714301</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0.33300000000000002</v>
      </c>
      <c r="E54" s="6">
        <v>0.16700000000000001</v>
      </c>
      <c r="F54" s="6">
        <v>0.111</v>
      </c>
      <c r="G54" t="s">
        <v>205</v>
      </c>
      <c r="H54" t="s">
        <v>59</v>
      </c>
    </row>
    <row r="55" spans="1:8" x14ac:dyDescent="0.25">
      <c r="A55" t="s">
        <v>206</v>
      </c>
      <c r="B55" t="s">
        <v>207</v>
      </c>
      <c r="C55" t="s">
        <v>176</v>
      </c>
      <c r="D55" s="6">
        <v>1.097</v>
      </c>
      <c r="E55" s="6">
        <v>0.36499999999999999</v>
      </c>
      <c r="F55" s="6">
        <v>0.193</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5.56</v>
      </c>
      <c r="E57" s="6">
        <v>5.56</v>
      </c>
      <c r="F57" s="6">
        <v>0</v>
      </c>
      <c r="G57" t="s">
        <v>59</v>
      </c>
      <c r="H57" t="s">
        <v>211</v>
      </c>
    </row>
    <row r="58" spans="1:8" x14ac:dyDescent="0.25">
      <c r="A58" t="s">
        <v>212</v>
      </c>
      <c r="B58" t="s">
        <v>14</v>
      </c>
      <c r="C58" t="s">
        <v>15</v>
      </c>
      <c r="D58" s="9">
        <v>5.7027504415846604</v>
      </c>
      <c r="E58" s="9">
        <v>5.1045343469997304</v>
      </c>
      <c r="F58" s="9">
        <v>6.0171128898702699</v>
      </c>
      <c r="G58" t="s">
        <v>59</v>
      </c>
      <c r="H58" t="s">
        <v>213</v>
      </c>
    </row>
    <row r="59" spans="1:8" x14ac:dyDescent="0.25">
      <c r="A59" t="s">
        <v>214</v>
      </c>
      <c r="B59" t="s">
        <v>14</v>
      </c>
      <c r="C59" t="s">
        <v>15</v>
      </c>
      <c r="D59" s="5">
        <v>2.5233409033560399E-2</v>
      </c>
      <c r="E59" s="5">
        <v>5.4303556882975799E-2</v>
      </c>
      <c r="F59" s="5">
        <v>0</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[1]康复医学科!$O$4</f>
        <v>偏瘫</v>
      </c>
      <c r="E72" s="10" t="str">
        <f>[1]康复医学科!$I$4</f>
        <v>偏瘫</v>
      </c>
      <c r="F72" s="10" t="str">
        <f>[1]康复医学科!$C$4</f>
        <v>偏瘫</v>
      </c>
      <c r="G72" t="s">
        <v>59</v>
      </c>
      <c r="H72" t="s">
        <v>59</v>
      </c>
    </row>
    <row r="73" spans="1:8" x14ac:dyDescent="0.25">
      <c r="A73" t="s">
        <v>241</v>
      </c>
      <c r="B73" t="s">
        <v>59</v>
      </c>
      <c r="C73" t="s">
        <v>90</v>
      </c>
      <c r="D73" s="10" t="str">
        <f>[1]康复医学科!$N$4</f>
        <v>G81</v>
      </c>
      <c r="E73" s="10" t="str">
        <f>[1]康复医学科!$H$4</f>
        <v>G81</v>
      </c>
      <c r="F73" s="10" t="str">
        <f>[1]康复医学科!$B$4</f>
        <v>G81</v>
      </c>
      <c r="G73" t="s">
        <v>59</v>
      </c>
      <c r="H73" t="s">
        <v>59</v>
      </c>
    </row>
    <row r="74" spans="1:8" x14ac:dyDescent="0.25">
      <c r="A74" t="s">
        <v>242</v>
      </c>
      <c r="B74" t="s">
        <v>14</v>
      </c>
      <c r="C74" t="s">
        <v>90</v>
      </c>
      <c r="D74" s="10">
        <f>[1]康复医学科!$Q$4</f>
        <v>21.8773656320969</v>
      </c>
      <c r="E74" s="10">
        <f>[1]康复医学科!$K$4</f>
        <v>21.585663860982901</v>
      </c>
      <c r="F74" s="10">
        <f>[1]康复医学科!$E$4</f>
        <v>21.777532431686399</v>
      </c>
      <c r="G74" t="s">
        <v>59</v>
      </c>
      <c r="H74" t="s">
        <v>59</v>
      </c>
    </row>
    <row r="75" spans="1:8" x14ac:dyDescent="0.25">
      <c r="A75" t="s">
        <v>243</v>
      </c>
      <c r="B75" t="s">
        <v>59</v>
      </c>
      <c r="C75" t="s">
        <v>90</v>
      </c>
      <c r="D75" s="10" t="str">
        <f>[1]康复医学科!$O$5</f>
        <v>腰椎间盘突出</v>
      </c>
      <c r="E75" s="10" t="str">
        <f>[1]康复医学科!$I$5</f>
        <v>腰椎间盘突出</v>
      </c>
      <c r="F75" s="10" t="str">
        <f>[1]康复医学科!$C$5</f>
        <v>混合型颈椎病</v>
      </c>
      <c r="G75" t="s">
        <v>59</v>
      </c>
      <c r="H75" t="s">
        <v>59</v>
      </c>
    </row>
    <row r="76" spans="1:8" x14ac:dyDescent="0.25">
      <c r="A76" t="s">
        <v>244</v>
      </c>
      <c r="B76" t="s">
        <v>59</v>
      </c>
      <c r="C76" t="s">
        <v>90</v>
      </c>
      <c r="D76" s="10" t="str">
        <f>[1]康复医学科!$N$5</f>
        <v>M51</v>
      </c>
      <c r="E76" s="10" t="str">
        <f>[1]康复医学科!$H$5</f>
        <v>M51</v>
      </c>
      <c r="F76" s="10" t="str">
        <f>[1]康复医学科!$B$5</f>
        <v>M47.8</v>
      </c>
      <c r="G76" t="s">
        <v>59</v>
      </c>
      <c r="H76" t="s">
        <v>59</v>
      </c>
    </row>
    <row r="77" spans="1:8" x14ac:dyDescent="0.25">
      <c r="A77" t="s">
        <v>245</v>
      </c>
      <c r="B77" t="s">
        <v>14</v>
      </c>
      <c r="C77" t="s">
        <v>90</v>
      </c>
      <c r="D77" s="10">
        <f>[1]康复医学科!$Q$5</f>
        <v>9.3363613424173604</v>
      </c>
      <c r="E77" s="10">
        <f>[1]康复医学科!$K$5</f>
        <v>8.3084442030953003</v>
      </c>
      <c r="F77" s="10">
        <f>[1]康复医学科!$E$5</f>
        <v>5.9067071487717397</v>
      </c>
      <c r="G77" t="s">
        <v>59</v>
      </c>
      <c r="H77" t="s">
        <v>59</v>
      </c>
    </row>
    <row r="78" spans="1:8" x14ac:dyDescent="0.25">
      <c r="A78" t="s">
        <v>246</v>
      </c>
      <c r="B78" t="s">
        <v>59</v>
      </c>
      <c r="C78" t="s">
        <v>90</v>
      </c>
      <c r="D78" s="10" t="str">
        <f>[1]康复医学科!$O$6</f>
        <v>截瘫和四肢瘫</v>
      </c>
      <c r="E78" s="10" t="str">
        <f>[1]康复医学科!$I$6</f>
        <v>肢体关节僵硬</v>
      </c>
      <c r="F78" s="10" t="str">
        <f>[1]康复医学科!$C$6</f>
        <v>腰椎间盘突出</v>
      </c>
      <c r="G78" t="s">
        <v>59</v>
      </c>
      <c r="H78" t="s">
        <v>59</v>
      </c>
    </row>
    <row r="79" spans="1:8" x14ac:dyDescent="0.25">
      <c r="A79" t="s">
        <v>247</v>
      </c>
      <c r="B79" t="s">
        <v>59</v>
      </c>
      <c r="C79" t="s">
        <v>90</v>
      </c>
      <c r="D79" s="10" t="str">
        <f>[1]康复医学科!$N$6</f>
        <v>G82</v>
      </c>
      <c r="E79" s="10" t="str">
        <f>[1]康复医学科!$H$6</f>
        <v>M25.6</v>
      </c>
      <c r="F79" s="10" t="str">
        <f>[1]康复医学科!$B$6</f>
        <v>M51</v>
      </c>
      <c r="G79" t="s">
        <v>59</v>
      </c>
      <c r="H79" t="s">
        <v>59</v>
      </c>
    </row>
    <row r="80" spans="1:8" x14ac:dyDescent="0.25">
      <c r="A80" t="s">
        <v>248</v>
      </c>
      <c r="B80" t="s">
        <v>14</v>
      </c>
      <c r="C80" t="s">
        <v>90</v>
      </c>
      <c r="D80" s="10">
        <f>[1]康复医学科!$Q$6</f>
        <v>9.0840272520817607</v>
      </c>
      <c r="E80" s="10">
        <f>[1]康复医学科!$K$6</f>
        <v>7.0323106163453701</v>
      </c>
      <c r="F80" s="10">
        <f>[1]康复医学科!$E$6</f>
        <v>8.1148219707424794</v>
      </c>
      <c r="G80" t="s">
        <v>59</v>
      </c>
      <c r="H80" t="s">
        <v>59</v>
      </c>
    </row>
    <row r="81" spans="1:8" x14ac:dyDescent="0.25">
      <c r="A81" t="s">
        <v>249</v>
      </c>
      <c r="B81" t="s">
        <v>59</v>
      </c>
      <c r="C81" t="s">
        <v>90</v>
      </c>
      <c r="D81" s="10" t="str">
        <f>[1]康复医学科!$O$7</f>
        <v>肢体关节僵硬</v>
      </c>
      <c r="E81" s="10" t="str">
        <f>[1]康复医学科!$I$7</f>
        <v>截瘫和四肢瘫</v>
      </c>
      <c r="F81" s="10" t="str">
        <f>[1]康复医学科!$C$7</f>
        <v>肢体关节僵硬</v>
      </c>
      <c r="G81" t="s">
        <v>59</v>
      </c>
      <c r="H81" t="s">
        <v>59</v>
      </c>
    </row>
    <row r="82" spans="1:8" x14ac:dyDescent="0.25">
      <c r="A82" t="s">
        <v>250</v>
      </c>
      <c r="B82" t="s">
        <v>59</v>
      </c>
      <c r="C82" t="s">
        <v>90</v>
      </c>
      <c r="D82" s="10" t="str">
        <f>[1]康复医学科!$N$7</f>
        <v>M25.6</v>
      </c>
      <c r="E82" s="10" t="str">
        <f>[1]康复医学科!$H$7</f>
        <v>G82</v>
      </c>
      <c r="F82" s="10" t="str">
        <f>[1]康复医学科!$B$7</f>
        <v>M25.6</v>
      </c>
      <c r="G82" t="s">
        <v>59</v>
      </c>
      <c r="H82" t="s">
        <v>59</v>
      </c>
    </row>
    <row r="83" spans="1:8" x14ac:dyDescent="0.25">
      <c r="A83" t="s">
        <v>251</v>
      </c>
      <c r="B83" t="s">
        <v>14</v>
      </c>
      <c r="C83" t="s">
        <v>90</v>
      </c>
      <c r="D83" s="10">
        <f>[1]康复医学科!$Q$7</f>
        <v>5.3747161241483701</v>
      </c>
      <c r="E83" s="10">
        <f>[1]康复医学科!$K$7</f>
        <v>7.9826228617974504</v>
      </c>
      <c r="F83" s="10">
        <f>[1]康复医学科!$E$7</f>
        <v>6.04471432514491</v>
      </c>
      <c r="G83" t="s">
        <v>59</v>
      </c>
      <c r="H83" t="s">
        <v>59</v>
      </c>
    </row>
    <row r="84" spans="1:8" x14ac:dyDescent="0.25">
      <c r="A84" t="s">
        <v>252</v>
      </c>
      <c r="B84" t="s">
        <v>59</v>
      </c>
      <c r="C84" t="s">
        <v>90</v>
      </c>
      <c r="D84" s="10" t="str">
        <f>[1]康复医学科!$O$8</f>
        <v>颈椎间盘突出</v>
      </c>
      <c r="E84" s="10" t="str">
        <f>[1]康复医学科!$I$8</f>
        <v>混合型颈椎病</v>
      </c>
      <c r="F84" s="10" t="str">
        <f>[1]康复医学科!$C$8</f>
        <v>截瘫和四肢瘫</v>
      </c>
      <c r="G84" t="s">
        <v>59</v>
      </c>
      <c r="H84" t="s">
        <v>59</v>
      </c>
    </row>
    <row r="85" spans="1:8" x14ac:dyDescent="0.25">
      <c r="A85" t="s">
        <v>253</v>
      </c>
      <c r="B85" t="s">
        <v>59</v>
      </c>
      <c r="C85" t="s">
        <v>90</v>
      </c>
      <c r="D85" s="10" t="str">
        <f>[1]康复医学科!$N$8</f>
        <v>M50</v>
      </c>
      <c r="E85" s="10" t="str">
        <f>[1]康复医学科!$H$8</f>
        <v>M47.8</v>
      </c>
      <c r="F85" s="10" t="str">
        <f>[1]康复医学科!$B$8</f>
        <v>G82</v>
      </c>
      <c r="G85" t="s">
        <v>59</v>
      </c>
      <c r="H85" t="s">
        <v>59</v>
      </c>
    </row>
    <row r="86" spans="1:8" x14ac:dyDescent="0.25">
      <c r="A86" t="s">
        <v>254</v>
      </c>
      <c r="B86" t="s">
        <v>14</v>
      </c>
      <c r="C86" t="s">
        <v>90</v>
      </c>
      <c r="D86" s="10">
        <f>[1]康复医学科!$Q$8</f>
        <v>4.3906131718395196</v>
      </c>
      <c r="E86" s="10">
        <f>[1]康复医学科!$K$8</f>
        <v>3.52973119739343</v>
      </c>
      <c r="F86" s="10">
        <f>[1]康复医学科!$E$8</f>
        <v>5.9895114545956396</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0.57979017117614595</v>
      </c>
      <c r="E2" s="5">
        <v>0.50014710208885005</v>
      </c>
      <c r="F2" s="5">
        <v>0.85444003661885903</v>
      </c>
      <c r="G2" t="s">
        <v>16</v>
      </c>
      <c r="H2" t="s">
        <v>17</v>
      </c>
    </row>
    <row r="3" spans="1:8" x14ac:dyDescent="0.25">
      <c r="A3" t="s">
        <v>18</v>
      </c>
      <c r="B3" t="s">
        <v>14</v>
      </c>
      <c r="C3" t="s">
        <v>15</v>
      </c>
      <c r="D3" s="5">
        <v>14.285714285714301</v>
      </c>
      <c r="E3" s="5">
        <v>0</v>
      </c>
      <c r="F3" s="5">
        <v>0</v>
      </c>
      <c r="G3" t="s">
        <v>19</v>
      </c>
      <c r="H3" t="s">
        <v>20</v>
      </c>
    </row>
    <row r="4" spans="1:8" x14ac:dyDescent="0.25">
      <c r="A4" t="s">
        <v>21</v>
      </c>
      <c r="B4" t="s">
        <v>14</v>
      </c>
      <c r="C4" t="s">
        <v>15</v>
      </c>
      <c r="D4" s="5">
        <v>9.5238095238095202</v>
      </c>
      <c r="E4" s="5">
        <v>5.8823529411764701</v>
      </c>
      <c r="F4" s="5">
        <v>0</v>
      </c>
      <c r="G4" t="s">
        <v>22</v>
      </c>
      <c r="H4" t="s">
        <v>23</v>
      </c>
    </row>
    <row r="5" spans="1:8" x14ac:dyDescent="0.25">
      <c r="A5" t="s">
        <v>24</v>
      </c>
      <c r="B5" t="s">
        <v>14</v>
      </c>
      <c r="C5" t="s">
        <v>15</v>
      </c>
      <c r="D5" s="6">
        <v>99.89</v>
      </c>
      <c r="E5" s="6">
        <v>99.65</v>
      </c>
      <c r="F5" s="6">
        <v>99.91</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1.46</v>
      </c>
      <c r="E10" s="6">
        <v>1.7</v>
      </c>
      <c r="F10" s="6">
        <v>1.22</v>
      </c>
      <c r="G10" t="s">
        <v>58</v>
      </c>
      <c r="H10" t="s">
        <v>59</v>
      </c>
    </row>
    <row r="11" spans="1:8" x14ac:dyDescent="0.25">
      <c r="A11" t="s">
        <v>63</v>
      </c>
      <c r="B11" t="s">
        <v>64</v>
      </c>
      <c r="C11" t="s">
        <v>61</v>
      </c>
      <c r="D11" s="5">
        <v>63.144161563805199</v>
      </c>
      <c r="E11" s="5">
        <v>59.033992828738803</v>
      </c>
      <c r="F11" s="5">
        <v>46.107043963446401</v>
      </c>
      <c r="G11" t="s">
        <v>35</v>
      </c>
      <c r="H11" t="s">
        <v>65</v>
      </c>
    </row>
    <row r="12" spans="1:8" x14ac:dyDescent="0.25">
      <c r="A12" t="s">
        <v>66</v>
      </c>
      <c r="B12" t="s">
        <v>14</v>
      </c>
      <c r="C12" t="s">
        <v>61</v>
      </c>
      <c r="D12" s="6">
        <v>76.58</v>
      </c>
      <c r="E12" s="6">
        <v>67.66</v>
      </c>
      <c r="F12" s="6">
        <v>58.73</v>
      </c>
      <c r="G12" t="s">
        <v>39</v>
      </c>
      <c r="H12" t="s">
        <v>67</v>
      </c>
    </row>
    <row r="13" spans="1:8" x14ac:dyDescent="0.25">
      <c r="A13" t="s">
        <v>68</v>
      </c>
      <c r="B13" t="s">
        <v>14</v>
      </c>
      <c r="C13" t="s">
        <v>61</v>
      </c>
      <c r="D13" s="6">
        <v>96.11</v>
      </c>
      <c r="E13" s="6">
        <v>94.77</v>
      </c>
      <c r="F13" s="6">
        <v>92.21</v>
      </c>
      <c r="G13" t="s">
        <v>39</v>
      </c>
      <c r="H13" t="s">
        <v>69</v>
      </c>
    </row>
    <row r="14" spans="1:8" x14ac:dyDescent="0.25">
      <c r="A14" t="s">
        <v>74</v>
      </c>
      <c r="B14" t="s">
        <v>14</v>
      </c>
      <c r="C14" t="s">
        <v>75</v>
      </c>
      <c r="D14" s="32">
        <f>260/63892864*100</f>
        <v>4.0693120283354339E-4</v>
      </c>
      <c r="E14" s="32">
        <f>472/51452172*100</f>
        <v>9.173568027409999E-4</v>
      </c>
      <c r="F14" s="32">
        <f>208.8/39908040*100</f>
        <v>5.2320284333683142E-4</v>
      </c>
      <c r="G14" t="s">
        <v>35</v>
      </c>
      <c r="H14" t="s">
        <v>76</v>
      </c>
    </row>
    <row r="15" spans="1:8" x14ac:dyDescent="0.25">
      <c r="A15" t="s">
        <v>91</v>
      </c>
      <c r="B15" t="s">
        <v>92</v>
      </c>
      <c r="C15" t="s">
        <v>15</v>
      </c>
      <c r="D15" s="6">
        <v>8.44</v>
      </c>
      <c r="E15" s="6">
        <v>8.7799999999999994</v>
      </c>
      <c r="F15" s="6">
        <v>7.65</v>
      </c>
      <c r="G15" t="s">
        <v>93</v>
      </c>
      <c r="H15" t="s">
        <v>94</v>
      </c>
    </row>
    <row r="16" spans="1:8" x14ac:dyDescent="0.25">
      <c r="A16" t="s">
        <v>95</v>
      </c>
      <c r="B16" t="s">
        <v>59</v>
      </c>
      <c r="C16" t="s">
        <v>34</v>
      </c>
      <c r="D16" s="6">
        <v>1.1299999999999999</v>
      </c>
      <c r="E16" s="6">
        <v>1.0900000000000001</v>
      </c>
      <c r="F16" s="6">
        <v>1.19</v>
      </c>
      <c r="G16" t="s">
        <v>96</v>
      </c>
      <c r="H16" t="s">
        <v>59</v>
      </c>
    </row>
    <row r="17" spans="1:8" x14ac:dyDescent="0.25">
      <c r="A17" t="s">
        <v>97</v>
      </c>
      <c r="B17" t="s">
        <v>98</v>
      </c>
      <c r="C17" t="s">
        <v>34</v>
      </c>
      <c r="D17" s="6">
        <v>77</v>
      </c>
      <c r="E17" s="6">
        <v>84</v>
      </c>
      <c r="F17" s="6">
        <v>72</v>
      </c>
      <c r="G17" t="s">
        <v>99</v>
      </c>
      <c r="H17" t="s">
        <v>59</v>
      </c>
    </row>
    <row r="18" spans="1:8" x14ac:dyDescent="0.25">
      <c r="A18" t="s">
        <v>104</v>
      </c>
      <c r="B18" t="s">
        <v>105</v>
      </c>
      <c r="C18" t="s">
        <v>15</v>
      </c>
      <c r="D18" s="6">
        <v>52</v>
      </c>
      <c r="E18" s="6">
        <v>52</v>
      </c>
      <c r="F18" s="6">
        <v>52</v>
      </c>
      <c r="G18" t="s">
        <v>58</v>
      </c>
      <c r="H18" t="s">
        <v>59</v>
      </c>
    </row>
    <row r="19" spans="1:8" x14ac:dyDescent="0.25">
      <c r="A19" t="s">
        <v>106</v>
      </c>
      <c r="B19" t="s">
        <v>105</v>
      </c>
      <c r="C19" t="s">
        <v>15</v>
      </c>
      <c r="D19" s="6">
        <v>76</v>
      </c>
      <c r="E19" s="6">
        <v>82</v>
      </c>
      <c r="F19" s="6">
        <v>55</v>
      </c>
      <c r="G19" t="s">
        <v>58</v>
      </c>
      <c r="H19" t="s">
        <v>59</v>
      </c>
    </row>
    <row r="20" spans="1:8" x14ac:dyDescent="0.25">
      <c r="A20" t="s">
        <v>107</v>
      </c>
      <c r="B20" t="s">
        <v>14</v>
      </c>
      <c r="C20" t="s">
        <v>15</v>
      </c>
      <c r="D20" s="6">
        <v>107.53</v>
      </c>
      <c r="E20" s="6">
        <v>122.07</v>
      </c>
      <c r="F20" s="6">
        <v>123.49</v>
      </c>
      <c r="G20" t="s">
        <v>58</v>
      </c>
      <c r="H20" t="s">
        <v>108</v>
      </c>
    </row>
    <row r="21" spans="1:8" x14ac:dyDescent="0.25">
      <c r="A21" t="s">
        <v>112</v>
      </c>
      <c r="B21" t="s">
        <v>59</v>
      </c>
      <c r="C21" t="s">
        <v>102</v>
      </c>
      <c r="D21" s="5">
        <f t="shared" ref="D21:F21" si="0">D43/D19</f>
        <v>0.17105263157894737</v>
      </c>
      <c r="E21" s="5">
        <f t="shared" si="0"/>
        <v>0.13414634146341464</v>
      </c>
      <c r="F21" s="5">
        <f t="shared" si="0"/>
        <v>0.12727272727272726</v>
      </c>
      <c r="G21" t="s">
        <v>110</v>
      </c>
      <c r="H21" t="s">
        <v>113</v>
      </c>
    </row>
    <row r="22" spans="1:8" x14ac:dyDescent="0.25">
      <c r="A22" t="s">
        <v>114</v>
      </c>
      <c r="B22" t="s">
        <v>59</v>
      </c>
      <c r="C22" t="s">
        <v>102</v>
      </c>
      <c r="D22" s="5">
        <f t="shared" ref="D22:F22" si="1">D44/D19</f>
        <v>0.40789473684210525</v>
      </c>
      <c r="E22" s="5">
        <f t="shared" si="1"/>
        <v>0.3902439024390244</v>
      </c>
      <c r="F22" s="5">
        <f t="shared" si="1"/>
        <v>0.6</v>
      </c>
      <c r="G22" t="s">
        <v>110</v>
      </c>
      <c r="H22" t="s">
        <v>115</v>
      </c>
    </row>
    <row r="23" spans="1:8" x14ac:dyDescent="0.25">
      <c r="A23" t="s">
        <v>116</v>
      </c>
      <c r="B23" t="s">
        <v>117</v>
      </c>
      <c r="C23" t="s">
        <v>118</v>
      </c>
      <c r="D23" s="5">
        <v>19.542999779999999</v>
      </c>
      <c r="E23" s="5">
        <v>20.399805000000001</v>
      </c>
      <c r="F23" s="5">
        <v>19.8870332631579</v>
      </c>
      <c r="G23" t="s">
        <v>119</v>
      </c>
      <c r="H23" t="s">
        <v>59</v>
      </c>
    </row>
    <row r="24" spans="1:8" x14ac:dyDescent="0.25">
      <c r="A24" t="s">
        <v>120</v>
      </c>
      <c r="B24" t="s">
        <v>117</v>
      </c>
      <c r="C24" t="s">
        <v>118</v>
      </c>
      <c r="D24" s="5">
        <v>66.029426040000004</v>
      </c>
      <c r="E24" s="5">
        <v>56.809385695652203</v>
      </c>
      <c r="F24" s="5">
        <v>44.7996195789474</v>
      </c>
      <c r="G24" t="s">
        <v>121</v>
      </c>
      <c r="H24" t="s">
        <v>59</v>
      </c>
    </row>
    <row r="25" spans="1:8" x14ac:dyDescent="0.25">
      <c r="A25" t="s">
        <v>122</v>
      </c>
      <c r="B25" t="s">
        <v>117</v>
      </c>
      <c r="C25" t="s">
        <v>118</v>
      </c>
      <c r="D25" s="5">
        <v>12.532384109272799</v>
      </c>
      <c r="E25" s="5">
        <v>14.1558459797858</v>
      </c>
      <c r="F25" s="5">
        <v>13.740132072727301</v>
      </c>
      <c r="G25" t="s">
        <v>123</v>
      </c>
      <c r="H25" t="s">
        <v>59</v>
      </c>
    </row>
    <row r="26" spans="1:8" x14ac:dyDescent="0.25">
      <c r="A26" t="s">
        <v>124</v>
      </c>
      <c r="B26" t="s">
        <v>117</v>
      </c>
      <c r="C26" t="s">
        <v>118</v>
      </c>
      <c r="D26" s="5">
        <v>42.342840861870002</v>
      </c>
      <c r="E26" s="5">
        <v>39.421205943581199</v>
      </c>
      <c r="F26" s="5">
        <v>30.952464436363599</v>
      </c>
      <c r="G26" t="s">
        <v>125</v>
      </c>
      <c r="H26" t="s">
        <v>59</v>
      </c>
    </row>
    <row r="27" spans="1:8" x14ac:dyDescent="0.25">
      <c r="A27" t="s">
        <v>126</v>
      </c>
      <c r="B27" t="s">
        <v>127</v>
      </c>
      <c r="C27" t="s">
        <v>118</v>
      </c>
      <c r="D27" s="5">
        <v>6.4497365648050602</v>
      </c>
      <c r="E27" s="5">
        <v>7.3763387297633898</v>
      </c>
      <c r="F27" s="5">
        <v>9.7029354207436391</v>
      </c>
      <c r="G27" t="s">
        <v>39</v>
      </c>
      <c r="H27" t="s">
        <v>128</v>
      </c>
    </row>
    <row r="28" spans="1:8" x14ac:dyDescent="0.25">
      <c r="A28" t="s">
        <v>129</v>
      </c>
      <c r="B28" t="s">
        <v>14</v>
      </c>
      <c r="C28" t="s">
        <v>118</v>
      </c>
      <c r="D28" s="5">
        <v>14.3810951773031</v>
      </c>
      <c r="E28" s="5">
        <v>17.042749773098802</v>
      </c>
      <c r="F28" s="5">
        <v>18.006527063376399</v>
      </c>
      <c r="G28" t="s">
        <v>130</v>
      </c>
      <c r="H28" t="s">
        <v>131</v>
      </c>
    </row>
    <row r="29" spans="1:8" x14ac:dyDescent="0.25">
      <c r="A29" t="s">
        <v>132</v>
      </c>
      <c r="B29" t="s">
        <v>117</v>
      </c>
      <c r="C29" t="s">
        <v>118</v>
      </c>
      <c r="D29" s="5">
        <v>6794.6841109999996</v>
      </c>
      <c r="E29" s="5">
        <v>5506.1010839999999</v>
      </c>
      <c r="F29" s="5">
        <v>4196.8518489999997</v>
      </c>
      <c r="G29" t="s">
        <v>59</v>
      </c>
      <c r="H29" t="s">
        <v>133</v>
      </c>
    </row>
    <row r="30" spans="1:8" x14ac:dyDescent="0.25">
      <c r="A30" t="s">
        <v>134</v>
      </c>
      <c r="B30" t="s">
        <v>117</v>
      </c>
      <c r="C30" t="s">
        <v>118</v>
      </c>
      <c r="D30" s="5">
        <v>977.14998899999898</v>
      </c>
      <c r="E30" s="5">
        <v>938.39103</v>
      </c>
      <c r="F30" s="5">
        <v>755.70726400000001</v>
      </c>
      <c r="G30" t="s">
        <v>59</v>
      </c>
      <c r="H30" t="s">
        <v>59</v>
      </c>
    </row>
    <row r="31" spans="1:8" x14ac:dyDescent="0.25">
      <c r="A31" t="s">
        <v>135</v>
      </c>
      <c r="B31" t="s">
        <v>117</v>
      </c>
      <c r="C31" t="s">
        <v>118</v>
      </c>
      <c r="D31" s="5">
        <v>3301.4713019999999</v>
      </c>
      <c r="E31" s="5">
        <v>2613.2317419999999</v>
      </c>
      <c r="F31" s="5">
        <v>1702.385544</v>
      </c>
      <c r="G31" t="s">
        <v>59</v>
      </c>
      <c r="H31" t="s">
        <v>136</v>
      </c>
    </row>
    <row r="32" spans="1:8" x14ac:dyDescent="0.25">
      <c r="A32" t="s">
        <v>216</v>
      </c>
      <c r="B32" t="s">
        <v>117</v>
      </c>
      <c r="D32" s="17">
        <v>5016.4399999999996</v>
      </c>
      <c r="E32" s="17">
        <v>4137.8599999999997</v>
      </c>
      <c r="F32" s="17">
        <v>3477.62</v>
      </c>
    </row>
    <row r="33" spans="1:8" x14ac:dyDescent="0.25">
      <c r="A33" t="s">
        <v>143</v>
      </c>
      <c r="B33" t="s">
        <v>14</v>
      </c>
      <c r="D33" s="15">
        <v>-9.57</v>
      </c>
      <c r="E33" s="15">
        <v>-0.57999999999999996</v>
      </c>
      <c r="F33" s="15">
        <v>4.13</v>
      </c>
    </row>
    <row r="34" spans="1:8" x14ac:dyDescent="0.25">
      <c r="A34" t="s">
        <v>137</v>
      </c>
      <c r="B34" t="s">
        <v>138</v>
      </c>
      <c r="C34" t="s">
        <v>139</v>
      </c>
      <c r="D34" s="6"/>
      <c r="E34" s="6"/>
      <c r="F34" s="6"/>
      <c r="G34" t="s">
        <v>35</v>
      </c>
      <c r="H34" t="s">
        <v>140</v>
      </c>
    </row>
    <row r="35" spans="1:8" x14ac:dyDescent="0.25">
      <c r="A35" t="s">
        <v>217</v>
      </c>
      <c r="B35" t="s">
        <v>14</v>
      </c>
      <c r="C35" t="s">
        <v>118</v>
      </c>
      <c r="D35" s="5">
        <v>12.8423098814461</v>
      </c>
      <c r="E35" s="5">
        <v>9.0290375787804908</v>
      </c>
      <c r="F35" s="5">
        <v>4.1957445803562798</v>
      </c>
      <c r="G35" t="s">
        <v>22</v>
      </c>
      <c r="H35" t="s">
        <v>218</v>
      </c>
    </row>
    <row r="36" spans="1:8" x14ac:dyDescent="0.25">
      <c r="A36" t="s">
        <v>219</v>
      </c>
      <c r="B36" t="s">
        <v>14</v>
      </c>
      <c r="C36" t="s">
        <v>118</v>
      </c>
      <c r="D36" s="5">
        <v>87.157690118553901</v>
      </c>
      <c r="E36" s="5">
        <v>90.970962421219497</v>
      </c>
      <c r="F36" s="5">
        <v>95.804255419643695</v>
      </c>
      <c r="G36" t="s">
        <v>22</v>
      </c>
      <c r="H36" t="s">
        <v>220</v>
      </c>
    </row>
    <row r="37" spans="1:8" x14ac:dyDescent="0.25">
      <c r="A37" t="s">
        <v>144</v>
      </c>
      <c r="B37" t="s">
        <v>14</v>
      </c>
      <c r="C37" t="s">
        <v>118</v>
      </c>
      <c r="D37" s="5">
        <v>23.402821839657999</v>
      </c>
      <c r="E37" s="5">
        <v>31.195984087738498</v>
      </c>
      <c r="F37" s="5">
        <v>32.992404938718799</v>
      </c>
      <c r="G37" t="s">
        <v>35</v>
      </c>
      <c r="H37" t="s">
        <v>145</v>
      </c>
    </row>
    <row r="38" spans="1:8" x14ac:dyDescent="0.25">
      <c r="A38" t="s">
        <v>146</v>
      </c>
      <c r="B38" t="s">
        <v>14</v>
      </c>
      <c r="C38" t="s">
        <v>118</v>
      </c>
      <c r="D38" s="5">
        <v>46.667216203427401</v>
      </c>
      <c r="E38" s="5">
        <v>188.98287985067799</v>
      </c>
      <c r="F38" s="5">
        <v>-16.209014899289102</v>
      </c>
      <c r="G38" t="s">
        <v>35</v>
      </c>
      <c r="H38" t="s">
        <v>147</v>
      </c>
    </row>
    <row r="39" spans="1:8" x14ac:dyDescent="0.25">
      <c r="A39" t="s">
        <v>148</v>
      </c>
      <c r="B39" t="s">
        <v>14</v>
      </c>
      <c r="C39" t="s">
        <v>118</v>
      </c>
      <c r="D39" s="5">
        <v>9.9937839112581095</v>
      </c>
      <c r="E39" s="5">
        <v>19.6775756941027</v>
      </c>
      <c r="F39" s="5">
        <v>8.5553408009036094</v>
      </c>
      <c r="G39" t="s">
        <v>35</v>
      </c>
      <c r="H39" t="s">
        <v>149</v>
      </c>
    </row>
    <row r="40" spans="1:8" x14ac:dyDescent="0.25">
      <c r="A40" t="s">
        <v>150</v>
      </c>
      <c r="B40" t="s">
        <v>14</v>
      </c>
      <c r="C40" t="s">
        <v>118</v>
      </c>
      <c r="D40" s="5">
        <v>53.685569449282802</v>
      </c>
      <c r="E40" s="5">
        <v>304.73719132035501</v>
      </c>
      <c r="F40" s="5">
        <v>-22.152952575749101</v>
      </c>
      <c r="G40" t="s">
        <v>35</v>
      </c>
      <c r="H40" t="s">
        <v>151</v>
      </c>
    </row>
    <row r="41" spans="1:8" x14ac:dyDescent="0.25">
      <c r="A41" t="s">
        <v>152</v>
      </c>
      <c r="B41" t="s">
        <v>14</v>
      </c>
      <c r="C41" t="s">
        <v>118</v>
      </c>
      <c r="D41" s="5">
        <v>2.4040953024009601</v>
      </c>
      <c r="E41" s="5">
        <v>-0.77057127811249604</v>
      </c>
      <c r="F41" s="5">
        <v>28.2824620461049</v>
      </c>
      <c r="G41" t="s">
        <v>35</v>
      </c>
      <c r="H41" t="s">
        <v>153</v>
      </c>
    </row>
    <row r="42" spans="1:8" x14ac:dyDescent="0.25">
      <c r="A42" t="s">
        <v>164</v>
      </c>
      <c r="B42" t="s">
        <v>59</v>
      </c>
      <c r="C42" t="s">
        <v>102</v>
      </c>
      <c r="D42" s="6">
        <v>0.42</v>
      </c>
      <c r="E42" s="6">
        <v>0.34</v>
      </c>
      <c r="F42" s="6">
        <v>0.21</v>
      </c>
      <c r="G42" t="s">
        <v>165</v>
      </c>
      <c r="H42" t="s">
        <v>166</v>
      </c>
    </row>
    <row r="43" spans="1:8" x14ac:dyDescent="0.25">
      <c r="A43" t="s">
        <v>167</v>
      </c>
      <c r="B43" t="s">
        <v>101</v>
      </c>
      <c r="C43" t="s">
        <v>102</v>
      </c>
      <c r="D43" s="6">
        <v>13</v>
      </c>
      <c r="E43" s="6">
        <v>11</v>
      </c>
      <c r="F43" s="6">
        <v>7</v>
      </c>
      <c r="G43" t="s">
        <v>168</v>
      </c>
      <c r="H43" t="s">
        <v>59</v>
      </c>
    </row>
    <row r="44" spans="1:8" x14ac:dyDescent="0.25">
      <c r="A44" t="s">
        <v>169</v>
      </c>
      <c r="B44" t="s">
        <v>101</v>
      </c>
      <c r="C44" t="s">
        <v>102</v>
      </c>
      <c r="D44" s="6">
        <v>31</v>
      </c>
      <c r="E44" s="6">
        <v>32</v>
      </c>
      <c r="F44" s="6">
        <v>33</v>
      </c>
      <c r="G44" t="s">
        <v>168</v>
      </c>
      <c r="H44" t="s">
        <v>59</v>
      </c>
    </row>
    <row r="45" spans="1:8" x14ac:dyDescent="0.25">
      <c r="A45" t="s">
        <v>221</v>
      </c>
      <c r="B45" t="s">
        <v>14</v>
      </c>
      <c r="C45" t="s">
        <v>102</v>
      </c>
      <c r="D45" s="6">
        <v>38.46</v>
      </c>
      <c r="E45" s="6">
        <v>45.45</v>
      </c>
      <c r="F45" s="6">
        <v>71.430000000000007</v>
      </c>
      <c r="G45" t="s">
        <v>59</v>
      </c>
      <c r="H45" t="s">
        <v>222</v>
      </c>
    </row>
    <row r="46" spans="1:8" x14ac:dyDescent="0.25">
      <c r="A46" t="s">
        <v>223</v>
      </c>
      <c r="B46" t="s">
        <v>14</v>
      </c>
      <c r="C46" t="s">
        <v>102</v>
      </c>
      <c r="D46" s="6">
        <v>7.69</v>
      </c>
      <c r="E46" s="6">
        <v>9.09</v>
      </c>
      <c r="F46" s="6">
        <v>14.29</v>
      </c>
      <c r="G46" t="s">
        <v>59</v>
      </c>
      <c r="H46" t="s">
        <v>224</v>
      </c>
    </row>
    <row r="47" spans="1:8" x14ac:dyDescent="0.25">
      <c r="A47" t="s">
        <v>225</v>
      </c>
      <c r="B47" t="s">
        <v>14</v>
      </c>
      <c r="C47" t="s">
        <v>102</v>
      </c>
      <c r="D47" s="6">
        <v>76.92</v>
      </c>
      <c r="E47" s="6">
        <v>72.73</v>
      </c>
      <c r="F47" s="6">
        <v>57.14</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2272727.2727272701</v>
      </c>
      <c r="E51" s="6">
        <v>1839148.4186046501</v>
      </c>
      <c r="F51" s="6">
        <v>25000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9.0999999999999998E-2</v>
      </c>
      <c r="F54" s="6">
        <v>0</v>
      </c>
      <c r="G54" t="s">
        <v>205</v>
      </c>
      <c r="H54" t="s">
        <v>59</v>
      </c>
    </row>
    <row r="55" spans="1:8" x14ac:dyDescent="0.25">
      <c r="A55" t="s">
        <v>206</v>
      </c>
      <c r="B55" t="s">
        <v>207</v>
      </c>
      <c r="C55" t="s">
        <v>176</v>
      </c>
      <c r="D55" s="6">
        <v>0</v>
      </c>
      <c r="E55" s="6">
        <v>0.11700000000000001</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7.69</v>
      </c>
      <c r="E57" s="6">
        <v>9.09</v>
      </c>
      <c r="F57" s="6">
        <v>0</v>
      </c>
      <c r="G57" t="s">
        <v>59</v>
      </c>
      <c r="H57" t="s">
        <v>211</v>
      </c>
    </row>
    <row r="58" spans="1:8" x14ac:dyDescent="0.25">
      <c r="A58" t="s">
        <v>212</v>
      </c>
      <c r="B58" t="s">
        <v>14</v>
      </c>
      <c r="C58" t="s">
        <v>15</v>
      </c>
      <c r="D58" s="9">
        <v>2.9265599116510201</v>
      </c>
      <c r="E58" s="9">
        <v>2.7655192703736402</v>
      </c>
      <c r="F58" s="9">
        <v>4.4552944766554798</v>
      </c>
      <c r="G58" t="s">
        <v>59</v>
      </c>
      <c r="H58" t="s">
        <v>213</v>
      </c>
    </row>
    <row r="59" spans="1:8" x14ac:dyDescent="0.25">
      <c r="A59" t="s">
        <v>214</v>
      </c>
      <c r="B59" t="s">
        <v>14</v>
      </c>
      <c r="C59" t="s">
        <v>15</v>
      </c>
      <c r="D59" s="5">
        <v>1.7117614577581399</v>
      </c>
      <c r="E59" s="5">
        <v>1.94174757281553</v>
      </c>
      <c r="F59" s="5">
        <v>0.61031431187061302</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[1]血液内科!$O$4</f>
        <v>为肿瘤化学治疗疗程</v>
      </c>
      <c r="E72" s="10" t="str">
        <f>[1]血液内科!$I$4</f>
        <v>为肿瘤化学治疗疗程</v>
      </c>
      <c r="F72" s="10" t="str">
        <f>[1]血液内科!$C$4</f>
        <v>为肿瘤化学治疗疗程</v>
      </c>
      <c r="G72" t="s">
        <v>59</v>
      </c>
      <c r="H72" t="s">
        <v>59</v>
      </c>
    </row>
    <row r="73" spans="1:8" x14ac:dyDescent="0.25">
      <c r="A73" t="s">
        <v>241</v>
      </c>
      <c r="B73" t="s">
        <v>59</v>
      </c>
      <c r="C73" t="s">
        <v>90</v>
      </c>
      <c r="D73" s="10" t="str">
        <f>[1]血液内科!$N$4</f>
        <v>Z51.1</v>
      </c>
      <c r="E73" s="10" t="str">
        <f>[1]血液内科!$H$4</f>
        <v>Z51.1</v>
      </c>
      <c r="F73" s="10" t="str">
        <f>[1]血液内科!$B$4</f>
        <v>Z51.1</v>
      </c>
      <c r="G73" t="s">
        <v>59</v>
      </c>
      <c r="H73" t="s">
        <v>59</v>
      </c>
    </row>
    <row r="74" spans="1:8" x14ac:dyDescent="0.25">
      <c r="A74" t="s">
        <v>242</v>
      </c>
      <c r="B74" t="s">
        <v>14</v>
      </c>
      <c r="C74" t="s">
        <v>90</v>
      </c>
      <c r="D74" s="10">
        <f>[1]血液内科!$Q$4</f>
        <v>56.018774157923801</v>
      </c>
      <c r="E74" s="10">
        <f>[1]血液内科!$K$4</f>
        <v>47.955280964989697</v>
      </c>
      <c r="F74" s="10">
        <f>[1]血液内科!$E$4</f>
        <v>56.332010985657597</v>
      </c>
      <c r="G74" t="s">
        <v>59</v>
      </c>
      <c r="H74" t="s">
        <v>59</v>
      </c>
    </row>
    <row r="75" spans="1:8" x14ac:dyDescent="0.25">
      <c r="A75" t="s">
        <v>243</v>
      </c>
      <c r="B75" t="s">
        <v>59</v>
      </c>
      <c r="C75" t="s">
        <v>90</v>
      </c>
      <c r="D75" s="10" t="str">
        <f>[1]血液内科!$O$5</f>
        <v>恶性肿瘤靶向治疗、对症治疗</v>
      </c>
      <c r="E75" s="10" t="str">
        <f>[1]血液内科!$I$5</f>
        <v>恶性肿瘤靶向治疗、对症治疗</v>
      </c>
      <c r="F75" s="10" t="str">
        <f>[1]血液内科!$C$5</f>
        <v>恶性肿瘤靶向治疗、对症治疗</v>
      </c>
      <c r="G75" t="s">
        <v>59</v>
      </c>
      <c r="H75" t="s">
        <v>59</v>
      </c>
    </row>
    <row r="76" spans="1:8" x14ac:dyDescent="0.25">
      <c r="A76" t="s">
        <v>244</v>
      </c>
      <c r="B76" t="s">
        <v>59</v>
      </c>
      <c r="C76" t="s">
        <v>90</v>
      </c>
      <c r="D76" s="10" t="str">
        <f>[1]血液内科!$N$5</f>
        <v>Z51.8</v>
      </c>
      <c r="E76" s="10" t="str">
        <f>[1]血液内科!$H$5</f>
        <v>Z51.8</v>
      </c>
      <c r="F76" s="10" t="str">
        <f>[1]血液内科!$B$5</f>
        <v>Z51.8</v>
      </c>
      <c r="G76" t="s">
        <v>59</v>
      </c>
      <c r="H76" t="s">
        <v>59</v>
      </c>
    </row>
    <row r="77" spans="1:8" x14ac:dyDescent="0.25">
      <c r="A77" t="s">
        <v>245</v>
      </c>
      <c r="B77" t="s">
        <v>14</v>
      </c>
      <c r="C77" t="s">
        <v>90</v>
      </c>
      <c r="D77" s="10">
        <f>[1]血液内科!$Q$5</f>
        <v>5.7426836002208699</v>
      </c>
      <c r="E77" s="10">
        <f>[1]血液内科!$K$5</f>
        <v>12.797881729920601</v>
      </c>
      <c r="F77" s="10">
        <f>[1]血液内科!$E$5</f>
        <v>8.3918217882209305</v>
      </c>
      <c r="G77" t="s">
        <v>59</v>
      </c>
      <c r="H77" t="s">
        <v>59</v>
      </c>
    </row>
    <row r="78" spans="1:8" x14ac:dyDescent="0.25">
      <c r="A78" t="s">
        <v>246</v>
      </c>
      <c r="B78" t="s">
        <v>59</v>
      </c>
      <c r="C78" t="s">
        <v>90</v>
      </c>
      <c r="D78" s="10" t="str">
        <f>[1]血液内科!$O$6</f>
        <v>再生障碍性贫血</v>
      </c>
      <c r="E78" s="10" t="str">
        <f>[1]血液内科!$I$6</f>
        <v>再生障碍性贫血</v>
      </c>
      <c r="F78" s="10" t="str">
        <f>[1]血液内科!$C$6</f>
        <v>再生障碍性贫血</v>
      </c>
      <c r="G78" t="s">
        <v>59</v>
      </c>
      <c r="H78" t="s">
        <v>59</v>
      </c>
    </row>
    <row r="79" spans="1:8" x14ac:dyDescent="0.25">
      <c r="A79" t="s">
        <v>247</v>
      </c>
      <c r="B79" t="s">
        <v>59</v>
      </c>
      <c r="C79" t="s">
        <v>90</v>
      </c>
      <c r="D79" s="10" t="str">
        <f>[1]血液内科!$N$6</f>
        <v>D60-D61</v>
      </c>
      <c r="E79" s="10" t="str">
        <f>[1]血液内科!$H$6</f>
        <v>D60-D61</v>
      </c>
      <c r="F79" s="10" t="str">
        <f>[1]血液内科!$B$6</f>
        <v>D60-D61</v>
      </c>
      <c r="G79" t="s">
        <v>59</v>
      </c>
      <c r="H79" t="s">
        <v>59</v>
      </c>
    </row>
    <row r="80" spans="1:8" x14ac:dyDescent="0.25">
      <c r="A80" t="s">
        <v>248</v>
      </c>
      <c r="B80" t="s">
        <v>14</v>
      </c>
      <c r="C80" t="s">
        <v>90</v>
      </c>
      <c r="D80" s="10">
        <f>[1]血液内科!$Q$6</f>
        <v>5.5494202098288197</v>
      </c>
      <c r="E80" s="10">
        <f>[1]血液内科!$K$6</f>
        <v>5.5604589585172102</v>
      </c>
      <c r="F80" s="10">
        <f>[1]血液内科!$E$6</f>
        <v>5.6454073848031703</v>
      </c>
      <c r="G80" t="s">
        <v>59</v>
      </c>
      <c r="H80" t="s">
        <v>59</v>
      </c>
    </row>
    <row r="81" spans="1:8" x14ac:dyDescent="0.25">
      <c r="A81" t="s">
        <v>249</v>
      </c>
      <c r="B81" t="s">
        <v>59</v>
      </c>
      <c r="C81" t="s">
        <v>90</v>
      </c>
      <c r="D81" s="10" t="str">
        <f>[1]血液内科!$O$7</f>
        <v>急慢性髓样白血病</v>
      </c>
      <c r="E81" s="10" t="str">
        <f>[1]血液内科!$I$7</f>
        <v>急慢性髓样白血病</v>
      </c>
      <c r="F81" s="10" t="str">
        <f>[1]血液内科!$C$7</f>
        <v>血小板减少性紫癜</v>
      </c>
      <c r="G81" t="s">
        <v>59</v>
      </c>
      <c r="H81" t="s">
        <v>59</v>
      </c>
    </row>
    <row r="82" spans="1:8" x14ac:dyDescent="0.25">
      <c r="A82" t="s">
        <v>250</v>
      </c>
      <c r="B82" t="s">
        <v>59</v>
      </c>
      <c r="C82" t="s">
        <v>90</v>
      </c>
      <c r="D82" s="10" t="str">
        <f>[1]血液内科!$N$7</f>
        <v>C92</v>
      </c>
      <c r="E82" s="10" t="str">
        <f>[1]血液内科!$H$7</f>
        <v>C92</v>
      </c>
      <c r="F82" s="10" t="str">
        <f>[1]血液内科!$B$7</f>
        <v>D69</v>
      </c>
      <c r="G82" t="s">
        <v>59</v>
      </c>
      <c r="H82" t="s">
        <v>59</v>
      </c>
    </row>
    <row r="83" spans="1:8" x14ac:dyDescent="0.25">
      <c r="A83" t="s">
        <v>251</v>
      </c>
      <c r="B83" t="s">
        <v>14</v>
      </c>
      <c r="C83" t="s">
        <v>90</v>
      </c>
      <c r="D83" s="10">
        <f>[1]血液内科!$Q$7</f>
        <v>4.3070127001656502</v>
      </c>
      <c r="E83" s="10">
        <f>[1]血液内科!$K$7</f>
        <v>3.5892909679317402</v>
      </c>
      <c r="F83" s="10">
        <f>[1]血液内科!$E$7</f>
        <v>4.3332316142813596</v>
      </c>
      <c r="G83" t="s">
        <v>59</v>
      </c>
      <c r="H83" t="s">
        <v>59</v>
      </c>
    </row>
    <row r="84" spans="1:8" x14ac:dyDescent="0.25">
      <c r="A84" t="s">
        <v>252</v>
      </c>
      <c r="B84" t="s">
        <v>59</v>
      </c>
      <c r="C84" t="s">
        <v>90</v>
      </c>
      <c r="D84" s="10" t="str">
        <f>[1]血液内科!$O$8</f>
        <v>血小板减少性紫癜</v>
      </c>
      <c r="E84" s="10" t="str">
        <f>[1]血液内科!$I$8</f>
        <v>血小板减少性紫癜</v>
      </c>
      <c r="F84" s="10" t="str">
        <f>[1]血液内科!$C$8</f>
        <v>急慢性髓样白血病</v>
      </c>
      <c r="G84" t="s">
        <v>59</v>
      </c>
      <c r="H84" t="s">
        <v>59</v>
      </c>
    </row>
    <row r="85" spans="1:8" x14ac:dyDescent="0.25">
      <c r="A85" t="s">
        <v>253</v>
      </c>
      <c r="B85" t="s">
        <v>59</v>
      </c>
      <c r="C85" t="s">
        <v>90</v>
      </c>
      <c r="D85" s="10" t="str">
        <f>[1]血液内科!$N$8</f>
        <v>D69</v>
      </c>
      <c r="E85" s="10" t="str">
        <f>[1]血液内科!$H$8</f>
        <v>D69</v>
      </c>
      <c r="F85" s="10" t="str">
        <f>[1]血液内科!$B$8</f>
        <v>C92</v>
      </c>
      <c r="G85" t="s">
        <v>59</v>
      </c>
      <c r="H85" t="s">
        <v>59</v>
      </c>
    </row>
    <row r="86" spans="1:8" x14ac:dyDescent="0.25">
      <c r="A86" t="s">
        <v>254</v>
      </c>
      <c r="B86" t="s">
        <v>14</v>
      </c>
      <c r="C86" t="s">
        <v>90</v>
      </c>
      <c r="D86" s="10">
        <f>[1]血液内科!$Q$8</f>
        <v>3.17504141358366</v>
      </c>
      <c r="E86" s="10">
        <f>[1]血液内科!$K$8</f>
        <v>3.3245072080023501</v>
      </c>
      <c r="F86" s="10">
        <f>[1]血液内科!$E$8</f>
        <v>3.20415013732072</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4.1963456178383396</v>
      </c>
      <c r="E2" s="5">
        <v>1.8598217030433399</v>
      </c>
      <c r="F2" s="5">
        <v>1.1813349084465401</v>
      </c>
      <c r="G2" t="s">
        <v>16</v>
      </c>
      <c r="H2" t="s">
        <v>17</v>
      </c>
    </row>
    <row r="3" spans="1:8" x14ac:dyDescent="0.25">
      <c r="A3" t="s">
        <v>18</v>
      </c>
      <c r="B3" t="s">
        <v>14</v>
      </c>
      <c r="C3" t="s">
        <v>15</v>
      </c>
      <c r="D3" s="5">
        <v>0</v>
      </c>
      <c r="E3" s="5">
        <v>0</v>
      </c>
      <c r="F3" s="5">
        <v>0</v>
      </c>
      <c r="G3" t="s">
        <v>19</v>
      </c>
      <c r="H3" t="s">
        <v>20</v>
      </c>
    </row>
    <row r="4" spans="1:8" x14ac:dyDescent="0.25">
      <c r="A4" t="s">
        <v>21</v>
      </c>
      <c r="B4" t="s">
        <v>14</v>
      </c>
      <c r="C4" t="s">
        <v>15</v>
      </c>
      <c r="D4" s="5">
        <v>77.490774907749099</v>
      </c>
      <c r="E4" s="5">
        <v>46.280991735537199</v>
      </c>
      <c r="F4" s="5">
        <v>37.5</v>
      </c>
      <c r="G4" t="s">
        <v>22</v>
      </c>
      <c r="H4" t="s">
        <v>23</v>
      </c>
    </row>
    <row r="5" spans="1:8" x14ac:dyDescent="0.25">
      <c r="A5" t="s">
        <v>24</v>
      </c>
      <c r="B5" t="s">
        <v>14</v>
      </c>
      <c r="C5" t="s">
        <v>15</v>
      </c>
      <c r="D5" s="5">
        <v>99.66</v>
      </c>
      <c r="E5" s="5">
        <v>99.82</v>
      </c>
      <c r="F5" s="5">
        <v>98.95</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2.09</v>
      </c>
      <c r="E10" s="6">
        <v>2.2400000000000002</v>
      </c>
      <c r="F10" s="6">
        <v>2.89</v>
      </c>
      <c r="G10" t="s">
        <v>58</v>
      </c>
      <c r="H10" t="s">
        <v>59</v>
      </c>
    </row>
    <row r="11" spans="1:8" x14ac:dyDescent="0.25">
      <c r="A11" t="s">
        <v>63</v>
      </c>
      <c r="B11" t="s">
        <v>64</v>
      </c>
      <c r="C11" t="s">
        <v>61</v>
      </c>
      <c r="D11" s="5">
        <v>19.873539194107799</v>
      </c>
      <c r="E11" s="5">
        <v>21.508648598954299</v>
      </c>
      <c r="F11" s="5">
        <v>25.334877285842399</v>
      </c>
      <c r="G11" t="s">
        <v>35</v>
      </c>
      <c r="H11" t="s">
        <v>65</v>
      </c>
    </row>
    <row r="12" spans="1:8" x14ac:dyDescent="0.25">
      <c r="A12" t="s">
        <v>66</v>
      </c>
      <c r="B12" t="s">
        <v>14</v>
      </c>
      <c r="C12" t="s">
        <v>61</v>
      </c>
      <c r="D12" s="6">
        <v>90.61</v>
      </c>
      <c r="E12" s="6">
        <v>80.28</v>
      </c>
      <c r="F12" s="6">
        <v>73.09</v>
      </c>
      <c r="G12" t="s">
        <v>39</v>
      </c>
      <c r="H12" t="s">
        <v>67</v>
      </c>
    </row>
    <row r="13" spans="1:8" x14ac:dyDescent="0.25">
      <c r="A13" t="s">
        <v>68</v>
      </c>
      <c r="B13" t="s">
        <v>14</v>
      </c>
      <c r="C13" t="s">
        <v>61</v>
      </c>
      <c r="D13" s="6">
        <v>99.19</v>
      </c>
      <c r="E13" s="6">
        <v>99.27</v>
      </c>
      <c r="F13" s="6">
        <v>96.53</v>
      </c>
      <c r="G13" t="s">
        <v>39</v>
      </c>
      <c r="H13" t="s">
        <v>69</v>
      </c>
    </row>
    <row r="14" spans="1:8" x14ac:dyDescent="0.25">
      <c r="A14" t="s">
        <v>74</v>
      </c>
      <c r="B14" t="s">
        <v>14</v>
      </c>
      <c r="C14" t="s">
        <v>75</v>
      </c>
      <c r="D14" s="18">
        <f>(1501689+385900)/74947022*100</f>
        <v>2.5185643800496837</v>
      </c>
      <c r="E14" s="18">
        <f>9750306/68559968*100</f>
        <v>14.221573148925623</v>
      </c>
      <c r="F14" s="18">
        <f>786047.5/73837978*100</f>
        <v>1.0645571849218298</v>
      </c>
      <c r="G14" t="s">
        <v>35</v>
      </c>
      <c r="H14" t="s">
        <v>76</v>
      </c>
    </row>
    <row r="15" spans="1:8" x14ac:dyDescent="0.25">
      <c r="A15" t="s">
        <v>91</v>
      </c>
      <c r="B15" t="s">
        <v>92</v>
      </c>
      <c r="C15" t="s">
        <v>15</v>
      </c>
      <c r="D15" s="6">
        <v>9.0399999999999991</v>
      </c>
      <c r="E15" s="6">
        <v>9.3000000000000007</v>
      </c>
      <c r="F15" s="6">
        <v>9.93</v>
      </c>
      <c r="G15" t="s">
        <v>93</v>
      </c>
      <c r="H15" t="s">
        <v>94</v>
      </c>
    </row>
    <row r="16" spans="1:8" x14ac:dyDescent="0.25">
      <c r="A16" t="s">
        <v>95</v>
      </c>
      <c r="B16" t="s">
        <v>59</v>
      </c>
      <c r="C16" t="s">
        <v>34</v>
      </c>
      <c r="D16" s="6">
        <v>1.24</v>
      </c>
      <c r="E16" s="6">
        <v>1.1200000000000001</v>
      </c>
      <c r="F16" s="6">
        <v>1.08</v>
      </c>
      <c r="G16" t="s">
        <v>96</v>
      </c>
      <c r="H16" t="s">
        <v>59</v>
      </c>
    </row>
    <row r="17" spans="1:8" x14ac:dyDescent="0.25">
      <c r="A17" t="s">
        <v>97</v>
      </c>
      <c r="B17" t="s">
        <v>98</v>
      </c>
      <c r="C17" t="s">
        <v>34</v>
      </c>
      <c r="D17" s="6">
        <v>155</v>
      </c>
      <c r="E17" s="6">
        <v>156</v>
      </c>
      <c r="F17" s="6">
        <v>160</v>
      </c>
      <c r="G17" t="s">
        <v>99</v>
      </c>
      <c r="H17" t="s">
        <v>59</v>
      </c>
    </row>
    <row r="18" spans="1:8" x14ac:dyDescent="0.25">
      <c r="A18" t="s">
        <v>104</v>
      </c>
      <c r="B18" t="s">
        <v>105</v>
      </c>
      <c r="C18" t="s">
        <v>15</v>
      </c>
      <c r="D18" s="6">
        <v>166</v>
      </c>
      <c r="E18" s="6">
        <v>166</v>
      </c>
      <c r="F18" s="6">
        <v>166</v>
      </c>
      <c r="G18" t="s">
        <v>58</v>
      </c>
      <c r="H18" t="s">
        <v>59</v>
      </c>
    </row>
    <row r="19" spans="1:8" x14ac:dyDescent="0.25">
      <c r="A19" t="s">
        <v>106</v>
      </c>
      <c r="B19" t="s">
        <v>105</v>
      </c>
      <c r="C19" t="s">
        <v>15</v>
      </c>
      <c r="D19" s="6">
        <v>180</v>
      </c>
      <c r="E19" s="6">
        <v>166</v>
      </c>
      <c r="F19" s="6">
        <v>190</v>
      </c>
      <c r="G19" t="s">
        <v>58</v>
      </c>
      <c r="H19" t="s">
        <v>59</v>
      </c>
    </row>
    <row r="20" spans="1:8" x14ac:dyDescent="0.25">
      <c r="A20" t="s">
        <v>107</v>
      </c>
      <c r="B20" t="s">
        <v>14</v>
      </c>
      <c r="C20" t="s">
        <v>15</v>
      </c>
      <c r="D20" s="6">
        <v>91.05</v>
      </c>
      <c r="E20" s="6">
        <v>91.39</v>
      </c>
      <c r="F20" s="6">
        <v>95.35</v>
      </c>
      <c r="G20" t="s">
        <v>58</v>
      </c>
      <c r="H20" t="s">
        <v>108</v>
      </c>
    </row>
    <row r="21" spans="1:8" x14ac:dyDescent="0.25">
      <c r="A21" t="s">
        <v>112</v>
      </c>
      <c r="B21" t="s">
        <v>59</v>
      </c>
      <c r="C21" t="s">
        <v>102</v>
      </c>
      <c r="D21" s="5">
        <f t="shared" ref="D21:F21" si="0">D43/D19</f>
        <v>0.17777777777777778</v>
      </c>
      <c r="E21" s="5">
        <f t="shared" si="0"/>
        <v>0.18072289156626506</v>
      </c>
      <c r="F21" s="5">
        <f t="shared" si="0"/>
        <v>0.14210526315789473</v>
      </c>
      <c r="G21" t="s">
        <v>110</v>
      </c>
      <c r="H21" t="s">
        <v>113</v>
      </c>
    </row>
    <row r="22" spans="1:8" x14ac:dyDescent="0.25">
      <c r="A22" t="s">
        <v>114</v>
      </c>
      <c r="B22" t="s">
        <v>59</v>
      </c>
      <c r="C22" t="s">
        <v>102</v>
      </c>
      <c r="D22" s="5">
        <f t="shared" ref="D22:F22" si="1">D44/D19</f>
        <v>0.4777777777777778</v>
      </c>
      <c r="E22" s="5">
        <f t="shared" si="1"/>
        <v>0.5</v>
      </c>
      <c r="F22" s="5">
        <f t="shared" si="1"/>
        <v>0.44210526315789472</v>
      </c>
      <c r="G22" t="s">
        <v>110</v>
      </c>
      <c r="H22" t="s">
        <v>115</v>
      </c>
    </row>
    <row r="23" spans="1:8" x14ac:dyDescent="0.25">
      <c r="A23" t="s">
        <v>116</v>
      </c>
      <c r="B23" t="s">
        <v>117</v>
      </c>
      <c r="C23" t="s">
        <v>118</v>
      </c>
      <c r="D23" s="5">
        <v>14.610358728070199</v>
      </c>
      <c r="E23" s="5">
        <v>15.6046439009009</v>
      </c>
      <c r="F23" s="5">
        <v>17.031473018181799</v>
      </c>
      <c r="G23" t="s">
        <v>119</v>
      </c>
      <c r="H23" t="s">
        <v>59</v>
      </c>
    </row>
    <row r="24" spans="1:8" x14ac:dyDescent="0.25">
      <c r="A24" t="s">
        <v>120</v>
      </c>
      <c r="B24" t="s">
        <v>117</v>
      </c>
      <c r="C24" t="s">
        <v>118</v>
      </c>
      <c r="D24" s="5">
        <v>36.801103289473701</v>
      </c>
      <c r="E24" s="5">
        <v>38.374784378378401</v>
      </c>
      <c r="F24" s="5">
        <v>40.187745945454502</v>
      </c>
      <c r="G24" t="s">
        <v>121</v>
      </c>
      <c r="H24" t="s">
        <v>59</v>
      </c>
    </row>
    <row r="25" spans="1:8" x14ac:dyDescent="0.25">
      <c r="A25" t="s">
        <v>122</v>
      </c>
      <c r="B25" t="s">
        <v>117</v>
      </c>
      <c r="C25" t="s">
        <v>118</v>
      </c>
      <c r="D25" s="5">
        <v>9.4959001995439003</v>
      </c>
      <c r="E25" s="5">
        <v>9.6244678168583704</v>
      </c>
      <c r="F25" s="5">
        <v>9.86032648421053</v>
      </c>
      <c r="G25" t="s">
        <v>123</v>
      </c>
      <c r="H25" t="s">
        <v>59</v>
      </c>
    </row>
    <row r="26" spans="1:8" x14ac:dyDescent="0.25">
      <c r="A26" t="s">
        <v>124</v>
      </c>
      <c r="B26" t="s">
        <v>117</v>
      </c>
      <c r="C26" t="s">
        <v>118</v>
      </c>
      <c r="D26" s="5">
        <v>23.918619013682999</v>
      </c>
      <c r="E26" s="5">
        <v>23.668395099183201</v>
      </c>
      <c r="F26" s="5">
        <v>23.2665897578947</v>
      </c>
      <c r="G26" t="s">
        <v>125</v>
      </c>
      <c r="H26" t="s">
        <v>59</v>
      </c>
    </row>
    <row r="27" spans="1:8" x14ac:dyDescent="0.25">
      <c r="A27" t="s">
        <v>126</v>
      </c>
      <c r="B27" t="s">
        <v>127</v>
      </c>
      <c r="C27" t="s">
        <v>118</v>
      </c>
      <c r="D27" s="5">
        <v>4.9904109589041097</v>
      </c>
      <c r="E27" s="5">
        <v>5.4975342465753396</v>
      </c>
      <c r="F27" s="5">
        <v>6.7097919837645899</v>
      </c>
      <c r="G27" t="s">
        <v>39</v>
      </c>
      <c r="H27" t="s">
        <v>128</v>
      </c>
    </row>
    <row r="28" spans="1:8" x14ac:dyDescent="0.25">
      <c r="A28" t="s">
        <v>129</v>
      </c>
      <c r="B28" t="s">
        <v>14</v>
      </c>
      <c r="C28" t="s">
        <v>118</v>
      </c>
      <c r="D28" s="5">
        <v>21.158400856310799</v>
      </c>
      <c r="E28" s="5">
        <v>23.760877699617399</v>
      </c>
      <c r="F28" s="5">
        <v>24.406199291290999</v>
      </c>
      <c r="G28" t="s">
        <v>130</v>
      </c>
      <c r="H28" t="s">
        <v>131</v>
      </c>
    </row>
    <row r="29" spans="1:8" x14ac:dyDescent="0.25">
      <c r="A29" t="s">
        <v>132</v>
      </c>
      <c r="B29" t="s">
        <v>117</v>
      </c>
      <c r="C29" t="s">
        <v>118</v>
      </c>
      <c r="D29" s="5">
        <v>7871.9602029999996</v>
      </c>
      <c r="E29" s="5">
        <v>7289.7790009999999</v>
      </c>
      <c r="F29" s="5">
        <v>7676.172802</v>
      </c>
      <c r="G29" t="s">
        <v>59</v>
      </c>
      <c r="H29" t="s">
        <v>133</v>
      </c>
    </row>
    <row r="30" spans="1:8" x14ac:dyDescent="0.25">
      <c r="A30" t="s">
        <v>134</v>
      </c>
      <c r="B30" t="s">
        <v>117</v>
      </c>
      <c r="C30" t="s">
        <v>118</v>
      </c>
      <c r="D30" s="5">
        <v>1665.5808950000001</v>
      </c>
      <c r="E30" s="5">
        <v>1732.1154730000001</v>
      </c>
      <c r="F30" s="5">
        <v>1873.4620319999999</v>
      </c>
      <c r="G30" t="s">
        <v>59</v>
      </c>
      <c r="H30" t="s">
        <v>59</v>
      </c>
    </row>
    <row r="31" spans="1:8" x14ac:dyDescent="0.25">
      <c r="A31" t="s">
        <v>135</v>
      </c>
      <c r="B31" t="s">
        <v>117</v>
      </c>
      <c r="C31" t="s">
        <v>118</v>
      </c>
      <c r="D31" s="5">
        <v>4195.3257750000002</v>
      </c>
      <c r="E31" s="5">
        <v>4259.6010660000002</v>
      </c>
      <c r="F31" s="5">
        <v>4420.6520540000001</v>
      </c>
      <c r="G31" t="s">
        <v>59</v>
      </c>
      <c r="H31" t="s">
        <v>136</v>
      </c>
    </row>
    <row r="32" spans="1:8" x14ac:dyDescent="0.25">
      <c r="A32" t="s">
        <v>216</v>
      </c>
      <c r="B32" t="s">
        <v>117</v>
      </c>
      <c r="D32" s="17">
        <v>6694.82</v>
      </c>
      <c r="E32" s="17">
        <v>5526.94</v>
      </c>
      <c r="F32" s="17">
        <v>5729.26</v>
      </c>
    </row>
    <row r="33" spans="1:8" x14ac:dyDescent="0.25">
      <c r="A33" t="s">
        <v>143</v>
      </c>
      <c r="B33" t="s">
        <v>14</v>
      </c>
      <c r="D33" s="15">
        <v>-14.62</v>
      </c>
      <c r="E33" s="15">
        <v>-17.07</v>
      </c>
      <c r="F33" s="15">
        <v>-23.47</v>
      </c>
    </row>
    <row r="34" spans="1:8" x14ac:dyDescent="0.25">
      <c r="A34" t="s">
        <v>137</v>
      </c>
      <c r="B34" t="s">
        <v>138</v>
      </c>
      <c r="C34" t="s">
        <v>139</v>
      </c>
      <c r="D34" s="6"/>
      <c r="E34" s="6"/>
      <c r="F34" s="6"/>
      <c r="G34" t="s">
        <v>35</v>
      </c>
      <c r="H34" t="s">
        <v>140</v>
      </c>
    </row>
    <row r="35" spans="1:8" x14ac:dyDescent="0.25">
      <c r="A35" t="s">
        <v>217</v>
      </c>
      <c r="B35" t="s">
        <v>14</v>
      </c>
      <c r="C35" t="s">
        <v>118</v>
      </c>
      <c r="D35" s="5">
        <v>17.194617326497202</v>
      </c>
      <c r="E35" s="5">
        <v>15.135159705783201</v>
      </c>
      <c r="F35" s="5">
        <v>15.4958087406537</v>
      </c>
      <c r="G35" t="s">
        <v>22</v>
      </c>
      <c r="H35" t="s">
        <v>218</v>
      </c>
    </row>
    <row r="36" spans="1:8" x14ac:dyDescent="0.25">
      <c r="A36" t="s">
        <v>219</v>
      </c>
      <c r="B36" t="s">
        <v>14</v>
      </c>
      <c r="C36" t="s">
        <v>118</v>
      </c>
      <c r="D36" s="5">
        <v>82.805382673502805</v>
      </c>
      <c r="E36" s="5">
        <v>84.864840294216805</v>
      </c>
      <c r="F36" s="5">
        <v>84.5041912593463</v>
      </c>
      <c r="G36" t="s">
        <v>22</v>
      </c>
      <c r="H36" t="s">
        <v>220</v>
      </c>
    </row>
    <row r="37" spans="1:8" x14ac:dyDescent="0.25">
      <c r="A37" t="s">
        <v>144</v>
      </c>
      <c r="B37" t="s">
        <v>14</v>
      </c>
      <c r="C37" t="s">
        <v>118</v>
      </c>
      <c r="D37" s="5">
        <v>7.9862668253747797</v>
      </c>
      <c r="E37" s="5">
        <v>-5.0336777319463799</v>
      </c>
      <c r="F37" s="5">
        <v>11.534577234293501</v>
      </c>
      <c r="G37" t="s">
        <v>35</v>
      </c>
      <c r="H37" t="s">
        <v>145</v>
      </c>
    </row>
    <row r="38" spans="1:8" x14ac:dyDescent="0.25">
      <c r="A38" t="s">
        <v>146</v>
      </c>
      <c r="B38" t="s">
        <v>14</v>
      </c>
      <c r="C38" t="s">
        <v>118</v>
      </c>
      <c r="D38" s="5">
        <v>1.8031758891618901</v>
      </c>
      <c r="E38" s="5">
        <v>-3.7606221221109899</v>
      </c>
      <c r="F38" s="5">
        <v>6.9815324157164502</v>
      </c>
      <c r="G38" t="s">
        <v>35</v>
      </c>
      <c r="H38" t="s">
        <v>147</v>
      </c>
    </row>
    <row r="39" spans="1:8" x14ac:dyDescent="0.25">
      <c r="A39" t="s">
        <v>148</v>
      </c>
      <c r="B39" t="s">
        <v>14</v>
      </c>
      <c r="C39" t="s">
        <v>118</v>
      </c>
      <c r="D39" s="5">
        <v>5.7778907591085202</v>
      </c>
      <c r="E39" s="5">
        <v>-1.8849015630114001</v>
      </c>
      <c r="F39" s="5">
        <v>6.3305943475125197</v>
      </c>
      <c r="G39" t="s">
        <v>35</v>
      </c>
      <c r="H39" t="s">
        <v>149</v>
      </c>
    </row>
    <row r="40" spans="1:8" x14ac:dyDescent="0.25">
      <c r="A40" t="s">
        <v>150</v>
      </c>
      <c r="B40" t="s">
        <v>14</v>
      </c>
      <c r="C40" t="s">
        <v>118</v>
      </c>
      <c r="D40" s="5">
        <v>12.5196320786754</v>
      </c>
      <c r="E40" s="5">
        <v>-8.9273300976731296</v>
      </c>
      <c r="F40" s="5">
        <v>27.0793813934947</v>
      </c>
      <c r="G40" t="s">
        <v>35</v>
      </c>
      <c r="H40" t="s">
        <v>151</v>
      </c>
    </row>
    <row r="41" spans="1:8" x14ac:dyDescent="0.25">
      <c r="A41" t="s">
        <v>152</v>
      </c>
      <c r="B41" t="s">
        <v>14</v>
      </c>
      <c r="C41" t="s">
        <v>118</v>
      </c>
      <c r="D41" s="5">
        <v>5.0134300712109399</v>
      </c>
      <c r="E41" s="5">
        <v>-30.9330178534087</v>
      </c>
      <c r="F41" s="5">
        <v>-7.7416222714490903</v>
      </c>
      <c r="G41" t="s">
        <v>35</v>
      </c>
      <c r="H41" t="s">
        <v>153</v>
      </c>
    </row>
    <row r="42" spans="1:8" x14ac:dyDescent="0.25">
      <c r="A42" t="s">
        <v>164</v>
      </c>
      <c r="B42" t="s">
        <v>59</v>
      </c>
      <c r="C42" t="s">
        <v>102</v>
      </c>
      <c r="D42" s="6">
        <v>0.37</v>
      </c>
      <c r="E42" s="6">
        <v>0.36</v>
      </c>
      <c r="F42" s="6">
        <v>0.32</v>
      </c>
      <c r="G42" t="s">
        <v>165</v>
      </c>
      <c r="H42" t="s">
        <v>166</v>
      </c>
    </row>
    <row r="43" spans="1:8" x14ac:dyDescent="0.25">
      <c r="A43" t="s">
        <v>167</v>
      </c>
      <c r="B43" t="s">
        <v>101</v>
      </c>
      <c r="C43" t="s">
        <v>102</v>
      </c>
      <c r="D43" s="6">
        <v>32</v>
      </c>
      <c r="E43" s="6">
        <v>30</v>
      </c>
      <c r="F43" s="6">
        <v>27</v>
      </c>
      <c r="G43" t="s">
        <v>168</v>
      </c>
      <c r="H43" t="s">
        <v>59</v>
      </c>
    </row>
    <row r="44" spans="1:8" x14ac:dyDescent="0.25">
      <c r="A44" t="s">
        <v>169</v>
      </c>
      <c r="B44" t="s">
        <v>101</v>
      </c>
      <c r="C44" t="s">
        <v>102</v>
      </c>
      <c r="D44" s="6">
        <v>86</v>
      </c>
      <c r="E44" s="6">
        <v>83</v>
      </c>
      <c r="F44" s="6">
        <v>84</v>
      </c>
      <c r="G44" t="s">
        <v>168</v>
      </c>
      <c r="H44" t="s">
        <v>59</v>
      </c>
    </row>
    <row r="45" spans="1:8" x14ac:dyDescent="0.25">
      <c r="A45" t="s">
        <v>221</v>
      </c>
      <c r="B45" t="s">
        <v>14</v>
      </c>
      <c r="C45" t="s">
        <v>102</v>
      </c>
      <c r="D45" s="6">
        <v>40.630000000000003</v>
      </c>
      <c r="E45" s="6">
        <v>46.67</v>
      </c>
      <c r="F45" s="6">
        <v>40.74</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68.75</v>
      </c>
      <c r="E47" s="6">
        <v>66.67</v>
      </c>
      <c r="F47" s="6">
        <v>62.96</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8.4749999999999999E-3</v>
      </c>
      <c r="E50" s="6">
        <v>0</v>
      </c>
      <c r="F50" s="6">
        <v>9.0900000000000009E-3</v>
      </c>
      <c r="G50" t="s">
        <v>191</v>
      </c>
      <c r="H50" t="s">
        <v>194</v>
      </c>
    </row>
    <row r="51" spans="1:8" x14ac:dyDescent="0.25">
      <c r="A51" t="s">
        <v>195</v>
      </c>
      <c r="B51" t="s">
        <v>196</v>
      </c>
      <c r="C51" t="s">
        <v>176</v>
      </c>
      <c r="D51" s="6">
        <v>417059.24576271197</v>
      </c>
      <c r="E51" s="6">
        <v>197496.16814159299</v>
      </c>
      <c r="F51" s="6">
        <v>9009.0090090090107</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9.4E-2</v>
      </c>
      <c r="E54" s="6">
        <v>6.7000000000000004E-2</v>
      </c>
      <c r="F54" s="6">
        <v>3.6999999999999998E-2</v>
      </c>
      <c r="G54" t="s">
        <v>205</v>
      </c>
      <c r="H54" t="s">
        <v>59</v>
      </c>
    </row>
    <row r="55" spans="1:8" x14ac:dyDescent="0.25">
      <c r="A55" t="s">
        <v>206</v>
      </c>
      <c r="B55" t="s">
        <v>207</v>
      </c>
      <c r="C55" t="s">
        <v>176</v>
      </c>
      <c r="D55" s="6">
        <v>0.21199999999999999</v>
      </c>
      <c r="E55" s="6">
        <v>0.17</v>
      </c>
      <c r="F55" s="6">
        <v>6.0999999999999999E-2</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4.0569835862496104</v>
      </c>
      <c r="E58" s="9">
        <v>4.1961266523209302</v>
      </c>
      <c r="F58" s="9">
        <v>4.5629060838747799</v>
      </c>
      <c r="G58" t="s">
        <v>59</v>
      </c>
      <c r="H58" t="s">
        <v>213</v>
      </c>
    </row>
    <row r="59" spans="1:8" x14ac:dyDescent="0.25">
      <c r="A59" t="s">
        <v>214</v>
      </c>
      <c r="B59" t="s">
        <v>14</v>
      </c>
      <c r="C59" t="s">
        <v>15</v>
      </c>
      <c r="D59" s="5">
        <v>1.4091049860638001</v>
      </c>
      <c r="E59" s="5">
        <v>3.42760528742699</v>
      </c>
      <c r="F59" s="5">
        <v>2.6284701712935599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[1]神经内科!$O$4</f>
        <v>脑梗死</v>
      </c>
      <c r="E72" s="10" t="str">
        <f>[1]神经内科!$I$4</f>
        <v>脑梗死</v>
      </c>
      <c r="F72" s="10" t="str">
        <f>[1]神经内科!$C$4</f>
        <v>脑梗死</v>
      </c>
      <c r="G72" t="s">
        <v>59</v>
      </c>
      <c r="H72" t="s">
        <v>59</v>
      </c>
    </row>
    <row r="73" spans="1:8" x14ac:dyDescent="0.25">
      <c r="A73" t="s">
        <v>241</v>
      </c>
      <c r="B73" t="s">
        <v>59</v>
      </c>
      <c r="C73" t="s">
        <v>90</v>
      </c>
      <c r="D73" s="10" t="str">
        <f>[1]神经内科!$N$4</f>
        <v>I63</v>
      </c>
      <c r="E73" s="10" t="str">
        <f>[1]神经内科!$H$4</f>
        <v>I63</v>
      </c>
      <c r="F73" s="10" t="str">
        <f>[1]神经内科!$B$4</f>
        <v>I63</v>
      </c>
      <c r="G73" t="s">
        <v>59</v>
      </c>
      <c r="H73" t="s">
        <v>59</v>
      </c>
    </row>
    <row r="74" spans="1:8" x14ac:dyDescent="0.25">
      <c r="A74" t="s">
        <v>242</v>
      </c>
      <c r="B74" t="s">
        <v>14</v>
      </c>
      <c r="C74" t="s">
        <v>90</v>
      </c>
      <c r="D74" s="10">
        <f>[1]神经内科!$Q$4</f>
        <v>48.141839578816999</v>
      </c>
      <c r="E74" s="10">
        <f>[1]神经内科!$K$4</f>
        <v>47.863510605594797</v>
      </c>
      <c r="F74" s="10">
        <f>[1]神经内科!$E$4</f>
        <v>45.4370939161252</v>
      </c>
      <c r="G74" t="s">
        <v>59</v>
      </c>
      <c r="H74" t="s">
        <v>59</v>
      </c>
    </row>
    <row r="75" spans="1:8" x14ac:dyDescent="0.25">
      <c r="A75" t="s">
        <v>243</v>
      </c>
      <c r="B75" t="s">
        <v>59</v>
      </c>
      <c r="C75" t="s">
        <v>90</v>
      </c>
      <c r="D75" s="10" t="str">
        <f>[1]神经内科!$O$5</f>
        <v>眩晕</v>
      </c>
      <c r="E75" s="10" t="str">
        <f>[1]神经内科!$I$5</f>
        <v>眩晕</v>
      </c>
      <c r="F75" s="10" t="str">
        <f>[1]神经内科!$C$5</f>
        <v>眩晕</v>
      </c>
      <c r="G75" t="s">
        <v>59</v>
      </c>
      <c r="H75" t="s">
        <v>59</v>
      </c>
    </row>
    <row r="76" spans="1:8" x14ac:dyDescent="0.25">
      <c r="A76" t="s">
        <v>244</v>
      </c>
      <c r="B76" t="s">
        <v>59</v>
      </c>
      <c r="C76" t="s">
        <v>90</v>
      </c>
      <c r="D76" s="10" t="str">
        <f>[1]神经内科!$N$5</f>
        <v>H81</v>
      </c>
      <c r="E76" s="10" t="str">
        <f>[1]神经内科!$H$5</f>
        <v>H81</v>
      </c>
      <c r="F76" s="10" t="str">
        <f>[1]神经内科!$B$5</f>
        <v>H81</v>
      </c>
      <c r="G76" t="s">
        <v>59</v>
      </c>
      <c r="H76" t="s">
        <v>59</v>
      </c>
    </row>
    <row r="77" spans="1:8" x14ac:dyDescent="0.25">
      <c r="A77" t="s">
        <v>245</v>
      </c>
      <c r="B77" t="s">
        <v>14</v>
      </c>
      <c r="C77" t="s">
        <v>90</v>
      </c>
      <c r="D77" s="10">
        <f>[1]神经内科!$Q$5</f>
        <v>19.4797150820688</v>
      </c>
      <c r="E77" s="10">
        <f>[1]神经内科!$K$5</f>
        <v>18.767291730710099</v>
      </c>
      <c r="F77" s="10">
        <f>[1]神经内科!$E$5</f>
        <v>12.404016538688699</v>
      </c>
      <c r="G77" t="s">
        <v>59</v>
      </c>
      <c r="H77" t="s">
        <v>59</v>
      </c>
    </row>
    <row r="78" spans="1:8" x14ac:dyDescent="0.25">
      <c r="A78" t="s">
        <v>246</v>
      </c>
      <c r="B78" t="s">
        <v>59</v>
      </c>
      <c r="C78" t="s">
        <v>90</v>
      </c>
      <c r="D78" s="10" t="str">
        <f>[1]神经内科!$O$6</f>
        <v>脑内出血</v>
      </c>
      <c r="E78" s="10" t="str">
        <f>[1]神经内科!$I$6</f>
        <v>脑内出血</v>
      </c>
      <c r="F78" s="10" t="str">
        <f>[1]神经内科!$C$6</f>
        <v>短暂性大脑缺血性发作和相关的综合征</v>
      </c>
      <c r="G78" t="s">
        <v>59</v>
      </c>
      <c r="H78" t="s">
        <v>59</v>
      </c>
    </row>
    <row r="79" spans="1:8" x14ac:dyDescent="0.25">
      <c r="A79" t="s">
        <v>247</v>
      </c>
      <c r="B79" t="s">
        <v>59</v>
      </c>
      <c r="C79" t="s">
        <v>90</v>
      </c>
      <c r="D79" s="10" t="str">
        <f>[1]神经内科!$N$6</f>
        <v>I61</v>
      </c>
      <c r="E79" s="10" t="str">
        <f>[1]神经内科!$H$6</f>
        <v>I61</v>
      </c>
      <c r="F79" s="10" t="str">
        <f>[1]神经内科!$B$6</f>
        <v>G45</v>
      </c>
      <c r="G79" t="s">
        <v>59</v>
      </c>
      <c r="H79" t="s">
        <v>59</v>
      </c>
    </row>
    <row r="80" spans="1:8" x14ac:dyDescent="0.25">
      <c r="A80" t="s">
        <v>248</v>
      </c>
      <c r="B80" t="s">
        <v>14</v>
      </c>
      <c r="C80" t="s">
        <v>90</v>
      </c>
      <c r="D80" s="10">
        <f>[1]神经内科!$Q$6</f>
        <v>3.79374419324868</v>
      </c>
      <c r="E80" s="10">
        <f>[1]神经内科!$K$6</f>
        <v>4.0885336612357799</v>
      </c>
      <c r="F80" s="10">
        <f>[1]神经内科!$E$6</f>
        <v>5.8771411695215603</v>
      </c>
      <c r="G80" t="s">
        <v>59</v>
      </c>
      <c r="H80" t="s">
        <v>59</v>
      </c>
    </row>
    <row r="81" spans="1:8" x14ac:dyDescent="0.25">
      <c r="A81" t="s">
        <v>249</v>
      </c>
      <c r="B81" t="s">
        <v>59</v>
      </c>
      <c r="C81" t="s">
        <v>90</v>
      </c>
      <c r="D81" s="10" t="str">
        <f>[1]神经内科!$O$7</f>
        <v>头痛综合征</v>
      </c>
      <c r="E81" s="10" t="str">
        <f>[1]神经内科!$I$7</f>
        <v>短暂性大脑缺血性发作和相关的综合征</v>
      </c>
      <c r="F81" s="10" t="str">
        <f>[1]神经内科!$C$7</f>
        <v>脑内出血</v>
      </c>
      <c r="G81" t="s">
        <v>59</v>
      </c>
      <c r="H81" t="s">
        <v>59</v>
      </c>
    </row>
    <row r="82" spans="1:8" x14ac:dyDescent="0.25">
      <c r="A82" t="s">
        <v>250</v>
      </c>
      <c r="B82" t="s">
        <v>59</v>
      </c>
      <c r="C82" t="s">
        <v>90</v>
      </c>
      <c r="D82" s="10" t="str">
        <f>[1]神经内科!$N$7</f>
        <v>G44</v>
      </c>
      <c r="E82" s="10" t="str">
        <f>[1]神经内科!$H$7</f>
        <v>G45</v>
      </c>
      <c r="F82" s="10" t="str">
        <f>[1]神经内科!$B$7</f>
        <v>I61</v>
      </c>
      <c r="G82" t="s">
        <v>59</v>
      </c>
      <c r="H82" t="s">
        <v>59</v>
      </c>
    </row>
    <row r="83" spans="1:8" x14ac:dyDescent="0.25">
      <c r="A83" t="s">
        <v>251</v>
      </c>
      <c r="B83" t="s">
        <v>14</v>
      </c>
      <c r="C83" t="s">
        <v>90</v>
      </c>
      <c r="D83" s="10">
        <f>[1]神经内科!$Q$7</f>
        <v>2.04397646330133</v>
      </c>
      <c r="E83" s="10">
        <f>[1]神经内科!$K$7</f>
        <v>2.3824162311712298</v>
      </c>
      <c r="F83" s="10">
        <f>[1]神经内科!$E$7</f>
        <v>4.0608387477849996</v>
      </c>
      <c r="G83" t="s">
        <v>59</v>
      </c>
      <c r="H83" t="s">
        <v>59</v>
      </c>
    </row>
    <row r="84" spans="1:8" x14ac:dyDescent="0.25">
      <c r="A84" t="s">
        <v>252</v>
      </c>
      <c r="B84" t="s">
        <v>59</v>
      </c>
      <c r="C84" t="s">
        <v>90</v>
      </c>
      <c r="D84" s="10" t="str">
        <f>[1]神经内科!$O$8</f>
        <v>短暂性大脑缺血性发作和相关的综合征</v>
      </c>
      <c r="E84" s="10" t="str">
        <f>[1]神经内科!$I$8</f>
        <v>头痛综合征</v>
      </c>
      <c r="F84" s="10" t="str">
        <f>[1]神经内科!$C$8</f>
        <v>头痛综合征</v>
      </c>
      <c r="G84" t="s">
        <v>59</v>
      </c>
      <c r="H84" t="s">
        <v>59</v>
      </c>
    </row>
    <row r="85" spans="1:8" x14ac:dyDescent="0.25">
      <c r="A85" t="s">
        <v>253</v>
      </c>
      <c r="B85" t="s">
        <v>59</v>
      </c>
      <c r="C85" t="s">
        <v>90</v>
      </c>
      <c r="D85" s="10" t="str">
        <f>[1]神经内科!$N$8</f>
        <v>G45</v>
      </c>
      <c r="E85" s="10" t="str">
        <f>[1]神经内科!$H$8</f>
        <v>G44</v>
      </c>
      <c r="F85" s="10" t="str">
        <f>[1]神经内科!$B$8</f>
        <v>G44</v>
      </c>
      <c r="G85" t="s">
        <v>59</v>
      </c>
      <c r="H85" t="s">
        <v>59</v>
      </c>
    </row>
    <row r="86" spans="1:8" x14ac:dyDescent="0.25">
      <c r="A86" t="s">
        <v>254</v>
      </c>
      <c r="B86" t="s">
        <v>14</v>
      </c>
      <c r="C86" t="s">
        <v>90</v>
      </c>
      <c r="D86" s="10">
        <f>[1]神经内科!$Q$8</f>
        <v>1.98203778259523</v>
      </c>
      <c r="E86" s="10">
        <f>[1]神经内科!$K$8</f>
        <v>1.7983399938518301</v>
      </c>
      <c r="F86" s="10">
        <f>[1]神经内科!$E$8</f>
        <v>1.9049025398700501</v>
      </c>
      <c r="G86" t="s">
        <v>59</v>
      </c>
      <c r="H86" t="s">
        <v>59</v>
      </c>
    </row>
    <row r="87" spans="1:8" x14ac:dyDescent="0.25">
      <c r="A87" t="s">
        <v>255</v>
      </c>
      <c r="B87" t="s">
        <v>59</v>
      </c>
      <c r="C87" t="s">
        <v>90</v>
      </c>
      <c r="D87" s="22" t="str">
        <f>[2]神经内科!$O$4</f>
        <v>经皮颅内动脉取栓术</v>
      </c>
      <c r="E87" s="22" t="str">
        <f>[2]神经内科!$I$4</f>
        <v>颈动脉腔内支架植入术</v>
      </c>
      <c r="F87" s="22" t="str">
        <f>[2]神经内科!$C$4</f>
        <v>颈动脉腔内支架植入术</v>
      </c>
      <c r="G87" t="s">
        <v>59</v>
      </c>
      <c r="H87" t="s">
        <v>59</v>
      </c>
    </row>
    <row r="88" spans="1:8" x14ac:dyDescent="0.25">
      <c r="A88" t="s">
        <v>256</v>
      </c>
      <c r="B88" t="s">
        <v>59</v>
      </c>
      <c r="C88" t="s">
        <v>90</v>
      </c>
      <c r="D88" s="23">
        <f>[2]神经内科!$N$4</f>
        <v>39.74</v>
      </c>
      <c r="E88" s="23" t="str">
        <f>[2]神经内科!$H$4</f>
        <v>00.63</v>
      </c>
      <c r="F88" s="23" t="str">
        <f>[2]神经内科!$B$4</f>
        <v>00.63</v>
      </c>
      <c r="G88" t="s">
        <v>59</v>
      </c>
      <c r="H88" t="s">
        <v>59</v>
      </c>
    </row>
    <row r="89" spans="1:8" x14ac:dyDescent="0.25">
      <c r="A89" t="s">
        <v>257</v>
      </c>
      <c r="B89" t="s">
        <v>14</v>
      </c>
      <c r="C89" t="s">
        <v>90</v>
      </c>
      <c r="D89" s="24">
        <f>[2]神经内科!$Q$4</f>
        <v>32.1033210332103</v>
      </c>
      <c r="E89" s="24">
        <f>[2]神经内科!$K$4</f>
        <v>36.363636363636402</v>
      </c>
      <c r="F89" s="24">
        <f>[2]神经内科!$E$4</f>
        <v>46.25</v>
      </c>
      <c r="G89" t="s">
        <v>59</v>
      </c>
      <c r="H89" t="s">
        <v>59</v>
      </c>
    </row>
    <row r="90" spans="1:8" x14ac:dyDescent="0.25">
      <c r="A90" t="s">
        <v>258</v>
      </c>
      <c r="B90" t="s">
        <v>59</v>
      </c>
      <c r="C90" t="s">
        <v>90</v>
      </c>
      <c r="D90" s="25" t="str">
        <f>[2]神经内科!$O$5</f>
        <v>脑保护伞下颈动脉支架置入术</v>
      </c>
      <c r="E90" s="25" t="str">
        <f>[2]神经内科!$I$5</f>
        <v>颅内血管腔内支架植入术</v>
      </c>
      <c r="F90" s="25" t="str">
        <f>[2]神经内科!$C$5</f>
        <v>动脉血管腔内成形术</v>
      </c>
      <c r="G90" t="s">
        <v>59</v>
      </c>
      <c r="H90" t="s">
        <v>59</v>
      </c>
    </row>
    <row r="91" spans="1:8" x14ac:dyDescent="0.25">
      <c r="A91" t="s">
        <v>259</v>
      </c>
      <c r="B91" t="s">
        <v>59</v>
      </c>
      <c r="C91" t="s">
        <v>90</v>
      </c>
      <c r="D91" s="26" t="str">
        <f>[2]神经内科!$N$5</f>
        <v>00.63</v>
      </c>
      <c r="E91" s="26" t="str">
        <f>[2]神经内科!$H$5</f>
        <v>00.65</v>
      </c>
      <c r="F91" s="26" t="str">
        <f>[2]神经内科!$B$5</f>
        <v>00.61</v>
      </c>
      <c r="G91" t="s">
        <v>59</v>
      </c>
      <c r="H91" t="s">
        <v>59</v>
      </c>
    </row>
    <row r="92" spans="1:8" x14ac:dyDescent="0.25">
      <c r="A92" t="s">
        <v>260</v>
      </c>
      <c r="B92" t="s">
        <v>14</v>
      </c>
      <c r="C92" t="s">
        <v>90</v>
      </c>
      <c r="D92" s="24">
        <f>[2]神经内科!$Q$5</f>
        <v>29.520295202951999</v>
      </c>
      <c r="E92" s="24">
        <f>[2]神经内科!$K$5</f>
        <v>24.793388429752099</v>
      </c>
      <c r="F92" s="24">
        <f>[2]神经内科!$E$5</f>
        <v>18.75</v>
      </c>
      <c r="G92" t="s">
        <v>59</v>
      </c>
      <c r="H92" t="s">
        <v>59</v>
      </c>
    </row>
    <row r="93" spans="1:8" x14ac:dyDescent="0.25">
      <c r="A93" t="s">
        <v>261</v>
      </c>
      <c r="B93" t="s">
        <v>59</v>
      </c>
      <c r="C93" t="s">
        <v>90</v>
      </c>
      <c r="D93" s="27" t="str">
        <f>[2]神经内科!$O$6</f>
        <v>经皮大脑中动脉支架置入术</v>
      </c>
      <c r="E93" s="27" t="str">
        <f>[2]神经内科!$I$6</f>
        <v>颅内血管腔内成形术</v>
      </c>
      <c r="F93" s="27" t="str">
        <f>[2]神经内科!$C$6</f>
        <v>颅内血管腔内支架植入术</v>
      </c>
      <c r="G93" t="s">
        <v>59</v>
      </c>
      <c r="H93" t="s">
        <v>59</v>
      </c>
    </row>
    <row r="94" spans="1:8" x14ac:dyDescent="0.25">
      <c r="A94" t="s">
        <v>262</v>
      </c>
      <c r="B94" t="s">
        <v>59</v>
      </c>
      <c r="C94" t="s">
        <v>90</v>
      </c>
      <c r="D94" s="28" t="str">
        <f>[2]神经内科!$N$6</f>
        <v>00.65</v>
      </c>
      <c r="E94" s="28" t="str">
        <f>[2]神经内科!$H$6</f>
        <v>00.62</v>
      </c>
      <c r="F94" s="28" t="str">
        <f>[2]神经内科!$B$6</f>
        <v>00.65</v>
      </c>
      <c r="G94" t="s">
        <v>59</v>
      </c>
      <c r="H94" t="s">
        <v>59</v>
      </c>
    </row>
    <row r="95" spans="1:8" x14ac:dyDescent="0.25">
      <c r="A95" t="s">
        <v>263</v>
      </c>
      <c r="B95" t="s">
        <v>14</v>
      </c>
      <c r="C95" t="s">
        <v>90</v>
      </c>
      <c r="D95" s="24">
        <f>[2]神经内科!$Q$6</f>
        <v>9.5940959409594093</v>
      </c>
      <c r="E95" s="24">
        <f>[2]神经内科!$K$6</f>
        <v>12.396694214876</v>
      </c>
      <c r="F95" s="24">
        <f>[2]神经内科!$E$6</f>
        <v>10</v>
      </c>
      <c r="G95" t="s">
        <v>59</v>
      </c>
      <c r="H95" t="s">
        <v>59</v>
      </c>
    </row>
    <row r="96" spans="1:8" x14ac:dyDescent="0.25">
      <c r="A96" t="s">
        <v>264</v>
      </c>
      <c r="B96" t="s">
        <v>59</v>
      </c>
      <c r="C96" t="s">
        <v>90</v>
      </c>
      <c r="D96" s="24" t="str">
        <f>[2]神经内科!$O$7</f>
        <v>经皮大脑中动脉球囊扩张成形术</v>
      </c>
      <c r="E96" s="24" t="str">
        <f>[2]神经内科!$I$7</f>
        <v>颈动脉血管腔内成形术</v>
      </c>
      <c r="F96" s="24" t="str">
        <f>[2]神经内科!$C$7</f>
        <v>颅内血管腔内成形术</v>
      </c>
      <c r="G96" t="s">
        <v>59</v>
      </c>
      <c r="H96" t="s">
        <v>59</v>
      </c>
    </row>
    <row r="97" spans="1:8" x14ac:dyDescent="0.25">
      <c r="A97" t="s">
        <v>265</v>
      </c>
      <c r="B97" t="s">
        <v>59</v>
      </c>
      <c r="C97" t="s">
        <v>90</v>
      </c>
      <c r="D97" s="25" t="str">
        <f>[2]神经内科!$N$7</f>
        <v>00.62</v>
      </c>
      <c r="E97" s="25" t="str">
        <f>[2]神经内科!$H$7</f>
        <v>00.61</v>
      </c>
      <c r="F97" s="25" t="str">
        <f>[2]神经内科!$B$7</f>
        <v>00.62</v>
      </c>
      <c r="G97" t="s">
        <v>59</v>
      </c>
      <c r="H97" t="s">
        <v>59</v>
      </c>
    </row>
    <row r="98" spans="1:8" x14ac:dyDescent="0.25">
      <c r="A98" t="s">
        <v>266</v>
      </c>
      <c r="B98" t="s">
        <v>14</v>
      </c>
      <c r="C98" t="s">
        <v>90</v>
      </c>
      <c r="D98" s="26">
        <f>[2]神经内科!$Q$7</f>
        <v>9.2250922509225095</v>
      </c>
      <c r="E98" s="26">
        <f>[2]神经内科!$K$7</f>
        <v>10.7438016528926</v>
      </c>
      <c r="F98" s="26">
        <f>[2]神经内科!$E$7</f>
        <v>6.25</v>
      </c>
      <c r="G98" t="s">
        <v>59</v>
      </c>
      <c r="H98" t="s">
        <v>59</v>
      </c>
    </row>
    <row r="99" spans="1:8" x14ac:dyDescent="0.25">
      <c r="A99" t="s">
        <v>267</v>
      </c>
      <c r="B99" t="s">
        <v>59</v>
      </c>
      <c r="C99" t="s">
        <v>90</v>
      </c>
      <c r="D99" s="24" t="str">
        <f>[2]神经内科!$O$8</f>
        <v>经皮基底动脉支架置入术</v>
      </c>
      <c r="E99" s="24" t="str">
        <f>[2]神经内科!$I$8</f>
        <v>锁骨下动脉血管腔内成形术</v>
      </c>
      <c r="F99" s="24" t="str">
        <f>[2]神经内科!$C$8</f>
        <v>入脑前动脉腔内支架植入术</v>
      </c>
      <c r="G99" t="s">
        <v>59</v>
      </c>
      <c r="H99" t="s">
        <v>59</v>
      </c>
    </row>
    <row r="100" spans="1:8" x14ac:dyDescent="0.25">
      <c r="A100" t="s">
        <v>268</v>
      </c>
      <c r="B100" t="s">
        <v>59</v>
      </c>
      <c r="C100" t="s">
        <v>90</v>
      </c>
      <c r="D100" s="10" t="str">
        <f>[2]神经内科!$N$8</f>
        <v>00.64</v>
      </c>
      <c r="E100" s="10" t="str">
        <f>[2]神经内科!$H$8</f>
        <v>39.50</v>
      </c>
      <c r="F100" s="10" t="str">
        <f>[2]神经内科!$B$8</f>
        <v>00.64</v>
      </c>
      <c r="G100" t="s">
        <v>59</v>
      </c>
      <c r="H100" t="s">
        <v>59</v>
      </c>
    </row>
    <row r="101" spans="1:8" x14ac:dyDescent="0.25">
      <c r="A101" t="s">
        <v>269</v>
      </c>
      <c r="B101" t="s">
        <v>14</v>
      </c>
      <c r="C101" t="s">
        <v>90</v>
      </c>
      <c r="D101" s="10">
        <f>[2]神经内科!$Q$8</f>
        <v>9.2250922509225095</v>
      </c>
      <c r="E101" s="10">
        <f>[2]神经内科!$K$8</f>
        <v>4.95867768595041</v>
      </c>
      <c r="F101" s="10">
        <f>[2]神经内科!$E$8</f>
        <v>1.25</v>
      </c>
      <c r="G101" t="s">
        <v>59</v>
      </c>
      <c r="H101" t="s">
        <v>59</v>
      </c>
    </row>
  </sheetData>
  <phoneticPr fontId="10" type="noConversion"/>
  <conditionalFormatting sqref="D88">
    <cfRule type="duplicateValues" dxfId="119" priority="12"/>
  </conditionalFormatting>
  <conditionalFormatting sqref="E88">
    <cfRule type="duplicateValues" dxfId="118" priority="4"/>
  </conditionalFormatting>
  <conditionalFormatting sqref="F88">
    <cfRule type="duplicateValues" dxfId="117" priority="8"/>
  </conditionalFormatting>
  <conditionalFormatting sqref="D91">
    <cfRule type="duplicateValues" dxfId="116" priority="11"/>
  </conditionalFormatting>
  <conditionalFormatting sqref="E91">
    <cfRule type="duplicateValues" dxfId="115" priority="3"/>
  </conditionalFormatting>
  <conditionalFormatting sqref="F91">
    <cfRule type="duplicateValues" dxfId="114" priority="7"/>
  </conditionalFormatting>
  <conditionalFormatting sqref="D94">
    <cfRule type="duplicateValues" dxfId="113" priority="9"/>
  </conditionalFormatting>
  <conditionalFormatting sqref="E94">
    <cfRule type="duplicateValues" dxfId="112" priority="1"/>
  </conditionalFormatting>
  <conditionalFormatting sqref="F94">
    <cfRule type="duplicateValues" dxfId="111" priority="5"/>
  </conditionalFormatting>
  <conditionalFormatting sqref="D98">
    <cfRule type="duplicateValues" dxfId="110" priority="10"/>
  </conditionalFormatting>
  <conditionalFormatting sqref="E98">
    <cfRule type="duplicateValues" dxfId="109" priority="2"/>
  </conditionalFormatting>
  <conditionalFormatting sqref="F98">
    <cfRule type="duplicateValues" dxfId="108" priority="6"/>
  </conditionalFormatting>
  <pageMargins left="0.69930555555555596" right="0.69930555555555596" top="0.75" bottom="0.75" header="0.3" footer="0.3"/>
  <ignoredErrors>
    <ignoredError sqref="A2:B31 G2:H31 G34:H101 A34:B101 A1:H1" numberStoredAsText="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101"/>
  <sheetViews>
    <sheetView topLeftCell="A19"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0.55003173259995797</v>
      </c>
      <c r="E2" s="5">
        <v>0.46902481923001799</v>
      </c>
      <c r="F2" s="5">
        <v>1.7619155184097599</v>
      </c>
      <c r="G2" t="s">
        <v>16</v>
      </c>
      <c r="H2" t="s">
        <v>17</v>
      </c>
    </row>
    <row r="3" spans="1:8" x14ac:dyDescent="0.25">
      <c r="A3" t="s">
        <v>18</v>
      </c>
      <c r="B3" t="s">
        <v>14</v>
      </c>
      <c r="C3" t="s">
        <v>15</v>
      </c>
      <c r="D3" s="5">
        <v>7.6923076923076898</v>
      </c>
      <c r="E3" s="5">
        <v>12.5</v>
      </c>
      <c r="F3" s="5">
        <v>0</v>
      </c>
      <c r="G3" t="s">
        <v>19</v>
      </c>
      <c r="H3" t="s">
        <v>20</v>
      </c>
    </row>
    <row r="4" spans="1:8" x14ac:dyDescent="0.25">
      <c r="A4" t="s">
        <v>21</v>
      </c>
      <c r="B4" t="s">
        <v>14</v>
      </c>
      <c r="C4" t="s">
        <v>15</v>
      </c>
      <c r="D4" s="5">
        <v>11.538461538461499</v>
      </c>
      <c r="E4" s="5">
        <v>0</v>
      </c>
      <c r="F4" s="5">
        <v>0</v>
      </c>
      <c r="G4" t="s">
        <v>22</v>
      </c>
      <c r="H4" t="s">
        <v>23</v>
      </c>
    </row>
    <row r="5" spans="1:8" x14ac:dyDescent="0.25">
      <c r="A5" t="s">
        <v>24</v>
      </c>
      <c r="B5" t="s">
        <v>14</v>
      </c>
      <c r="C5" t="s">
        <v>15</v>
      </c>
      <c r="D5" s="6">
        <v>99.96</v>
      </c>
      <c r="E5" s="6">
        <v>99.84</v>
      </c>
      <c r="F5" s="6">
        <v>99.82</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0.28000000000000003</v>
      </c>
      <c r="E10" s="6">
        <v>0.41</v>
      </c>
      <c r="F10" s="6">
        <v>0.36</v>
      </c>
      <c r="G10" t="s">
        <v>58</v>
      </c>
      <c r="H10" t="s">
        <v>59</v>
      </c>
    </row>
    <row r="11" spans="1:8" x14ac:dyDescent="0.25">
      <c r="A11" t="s">
        <v>63</v>
      </c>
      <c r="B11" t="s">
        <v>64</v>
      </c>
      <c r="C11" t="s">
        <v>61</v>
      </c>
      <c r="D11" s="33">
        <v>11.655999752536101</v>
      </c>
      <c r="E11" s="33">
        <v>11.3442836328267</v>
      </c>
      <c r="F11" s="33">
        <v>11.072951059870499</v>
      </c>
      <c r="G11" t="s">
        <v>35</v>
      </c>
      <c r="H11" t="s">
        <v>65</v>
      </c>
    </row>
    <row r="12" spans="1:8" x14ac:dyDescent="0.25">
      <c r="A12" t="s">
        <v>66</v>
      </c>
      <c r="B12" t="s">
        <v>14</v>
      </c>
      <c r="C12" t="s">
        <v>61</v>
      </c>
      <c r="D12" s="6">
        <v>61.24</v>
      </c>
      <c r="E12" s="6">
        <v>50.96</v>
      </c>
      <c r="F12" s="6">
        <v>43.32</v>
      </c>
      <c r="G12" t="s">
        <v>39</v>
      </c>
      <c r="H12" t="s">
        <v>67</v>
      </c>
    </row>
    <row r="13" spans="1:8" x14ac:dyDescent="0.25">
      <c r="A13" t="s">
        <v>68</v>
      </c>
      <c r="B13" t="s">
        <v>14</v>
      </c>
      <c r="C13" t="s">
        <v>61</v>
      </c>
      <c r="D13" s="6">
        <v>84.19</v>
      </c>
      <c r="E13" s="6">
        <v>79.37</v>
      </c>
      <c r="F13" s="6">
        <v>75.86</v>
      </c>
      <c r="G13" t="s">
        <v>39</v>
      </c>
      <c r="H13" t="s">
        <v>69</v>
      </c>
    </row>
    <row r="14" spans="1:8" x14ac:dyDescent="0.25">
      <c r="A14" t="s">
        <v>74</v>
      </c>
      <c r="B14" t="s">
        <v>14</v>
      </c>
      <c r="C14" t="s">
        <v>75</v>
      </c>
      <c r="D14" s="11">
        <f>39800/78088883*100</f>
        <v>5.096756218167444E-2</v>
      </c>
      <c r="E14" s="11">
        <f>3095/74727991*100</f>
        <v>4.14168768433772E-3</v>
      </c>
      <c r="F14" s="6"/>
      <c r="G14" t="s">
        <v>35</v>
      </c>
      <c r="H14" t="s">
        <v>76</v>
      </c>
    </row>
    <row r="15" spans="1:8" x14ac:dyDescent="0.25">
      <c r="A15" t="s">
        <v>91</v>
      </c>
      <c r="B15" t="s">
        <v>92</v>
      </c>
      <c r="C15" t="s">
        <v>15</v>
      </c>
      <c r="D15" s="6">
        <v>12.73</v>
      </c>
      <c r="E15" s="6">
        <v>12.56</v>
      </c>
      <c r="F15" s="6">
        <v>14.56</v>
      </c>
      <c r="G15" t="s">
        <v>93</v>
      </c>
      <c r="H15" t="s">
        <v>94</v>
      </c>
    </row>
    <row r="16" spans="1:8" x14ac:dyDescent="0.25">
      <c r="A16" t="s">
        <v>95</v>
      </c>
      <c r="B16" t="s">
        <v>59</v>
      </c>
      <c r="C16" t="s">
        <v>34</v>
      </c>
      <c r="D16" s="6">
        <v>1.71</v>
      </c>
      <c r="E16" s="6">
        <v>1.61</v>
      </c>
      <c r="F16" s="6">
        <v>1.63</v>
      </c>
      <c r="G16" t="s">
        <v>96</v>
      </c>
      <c r="H16" t="s">
        <v>59</v>
      </c>
    </row>
    <row r="17" spans="1:8" x14ac:dyDescent="0.25">
      <c r="A17" t="s">
        <v>97</v>
      </c>
      <c r="B17" t="s">
        <v>98</v>
      </c>
      <c r="C17" t="s">
        <v>34</v>
      </c>
      <c r="D17" s="6">
        <v>100</v>
      </c>
      <c r="E17" s="6">
        <v>108</v>
      </c>
      <c r="F17" s="6">
        <v>122</v>
      </c>
      <c r="G17" t="s">
        <v>99</v>
      </c>
      <c r="H17" t="s">
        <v>59</v>
      </c>
    </row>
    <row r="18" spans="1:8" x14ac:dyDescent="0.25">
      <c r="A18" t="s">
        <v>104</v>
      </c>
      <c r="B18" t="s">
        <v>105</v>
      </c>
      <c r="C18" t="s">
        <v>15</v>
      </c>
      <c r="D18" s="6">
        <v>162</v>
      </c>
      <c r="E18" s="6">
        <v>162</v>
      </c>
      <c r="F18" s="6">
        <v>162</v>
      </c>
      <c r="G18" t="s">
        <v>58</v>
      </c>
      <c r="H18" t="s">
        <v>59</v>
      </c>
    </row>
    <row r="19" spans="1:8" x14ac:dyDescent="0.25">
      <c r="A19" t="s">
        <v>106</v>
      </c>
      <c r="B19" t="s">
        <v>105</v>
      </c>
      <c r="C19" t="s">
        <v>15</v>
      </c>
      <c r="D19" s="6">
        <v>175</v>
      </c>
      <c r="E19" s="6">
        <v>172</v>
      </c>
      <c r="F19" s="6">
        <v>178</v>
      </c>
      <c r="G19" t="s">
        <v>58</v>
      </c>
      <c r="H19" t="s">
        <v>59</v>
      </c>
    </row>
    <row r="20" spans="1:8" x14ac:dyDescent="0.25">
      <c r="A20" t="s">
        <v>107</v>
      </c>
      <c r="B20" t="s">
        <v>14</v>
      </c>
      <c r="C20" t="s">
        <v>15</v>
      </c>
      <c r="D20" s="6">
        <v>92.79</v>
      </c>
      <c r="E20" s="6">
        <v>98.08</v>
      </c>
      <c r="F20" s="6">
        <v>97.71</v>
      </c>
      <c r="G20" t="s">
        <v>58</v>
      </c>
      <c r="H20" t="s">
        <v>108</v>
      </c>
    </row>
    <row r="21" spans="1:8" x14ac:dyDescent="0.25">
      <c r="A21" t="s">
        <v>112</v>
      </c>
      <c r="B21" t="s">
        <v>59</v>
      </c>
      <c r="C21" t="s">
        <v>102</v>
      </c>
      <c r="D21" s="5">
        <f t="shared" ref="D21:F21" si="0">D43/D19</f>
        <v>0.12</v>
      </c>
      <c r="E21" s="5">
        <f t="shared" si="0"/>
        <v>0.12209302325581395</v>
      </c>
      <c r="F21" s="5">
        <f t="shared" si="0"/>
        <v>0.11235955056179775</v>
      </c>
      <c r="G21" t="s">
        <v>110</v>
      </c>
      <c r="H21" t="s">
        <v>113</v>
      </c>
    </row>
    <row r="22" spans="1:8" x14ac:dyDescent="0.25">
      <c r="A22" t="s">
        <v>114</v>
      </c>
      <c r="B22" t="s">
        <v>59</v>
      </c>
      <c r="C22" t="s">
        <v>102</v>
      </c>
      <c r="D22" s="5">
        <f t="shared" ref="D22:F22" si="1">D44/D19</f>
        <v>0.26857142857142857</v>
      </c>
      <c r="E22" s="5">
        <f t="shared" si="1"/>
        <v>0.22093023255813954</v>
      </c>
      <c r="F22" s="5">
        <f t="shared" si="1"/>
        <v>0.2247191011235955</v>
      </c>
      <c r="G22" t="s">
        <v>110</v>
      </c>
      <c r="H22" t="s">
        <v>115</v>
      </c>
    </row>
    <row r="23" spans="1:8" x14ac:dyDescent="0.25">
      <c r="A23" t="s">
        <v>116</v>
      </c>
      <c r="B23" t="s">
        <v>117</v>
      </c>
      <c r="C23" t="s">
        <v>118</v>
      </c>
      <c r="D23" s="18">
        <v>69.1393089824561</v>
      </c>
      <c r="E23" s="5">
        <v>71.729483520000002</v>
      </c>
      <c r="F23" s="5">
        <v>63.530132554054099</v>
      </c>
      <c r="G23" t="s">
        <v>119</v>
      </c>
      <c r="H23" t="s">
        <v>59</v>
      </c>
    </row>
    <row r="24" spans="1:8" x14ac:dyDescent="0.25">
      <c r="A24" t="s">
        <v>120</v>
      </c>
      <c r="B24" t="s">
        <v>117</v>
      </c>
      <c r="C24" t="s">
        <v>118</v>
      </c>
      <c r="D24" s="18">
        <v>81.828749602339201</v>
      </c>
      <c r="E24" s="5">
        <v>87.330187733333304</v>
      </c>
      <c r="F24" s="5">
        <v>78.069585972973002</v>
      </c>
      <c r="G24" t="s">
        <v>121</v>
      </c>
      <c r="H24" t="s">
        <v>59</v>
      </c>
    </row>
    <row r="25" spans="1:8" x14ac:dyDescent="0.25">
      <c r="A25" t="s">
        <v>122</v>
      </c>
      <c r="B25" t="s">
        <v>117</v>
      </c>
      <c r="C25" t="s">
        <v>118</v>
      </c>
      <c r="D25" s="5">
        <v>33.971673570484498</v>
      </c>
      <c r="E25" s="5">
        <v>30.655372180751002</v>
      </c>
      <c r="F25" s="5">
        <v>26.4114034213483</v>
      </c>
      <c r="G25" t="s">
        <v>123</v>
      </c>
      <c r="H25" t="s">
        <v>59</v>
      </c>
    </row>
    <row r="26" spans="1:8" x14ac:dyDescent="0.25">
      <c r="A26" t="s">
        <v>124</v>
      </c>
      <c r="B26" t="s">
        <v>117</v>
      </c>
      <c r="C26" t="s">
        <v>118</v>
      </c>
      <c r="D26" s="5">
        <v>40.206643819320703</v>
      </c>
      <c r="E26" s="5">
        <v>37.3227196991282</v>
      </c>
      <c r="F26" s="5">
        <v>32.455895292134798</v>
      </c>
      <c r="G26" t="s">
        <v>125</v>
      </c>
      <c r="H26" t="s">
        <v>59</v>
      </c>
    </row>
    <row r="27" spans="1:8" x14ac:dyDescent="0.25">
      <c r="A27" t="s">
        <v>126</v>
      </c>
      <c r="B27" t="s">
        <v>127</v>
      </c>
      <c r="C27" t="s">
        <v>118</v>
      </c>
      <c r="D27" s="5">
        <v>7.6885844748858396</v>
      </c>
      <c r="E27" s="5">
        <v>8.2189171559034602</v>
      </c>
      <c r="F27" s="5">
        <v>8.6965753424657493</v>
      </c>
      <c r="G27" t="s">
        <v>39</v>
      </c>
      <c r="H27" t="s">
        <v>128</v>
      </c>
    </row>
    <row r="28" spans="1:8" x14ac:dyDescent="0.25">
      <c r="A28" t="s">
        <v>129</v>
      </c>
      <c r="B28" t="s">
        <v>14</v>
      </c>
      <c r="C28" t="s">
        <v>118</v>
      </c>
      <c r="D28" s="5">
        <v>71.058232213397801</v>
      </c>
      <c r="E28" s="5">
        <v>66.205318424182295</v>
      </c>
      <c r="F28" s="5">
        <v>64.339606576954296</v>
      </c>
      <c r="G28" t="s">
        <v>130</v>
      </c>
      <c r="H28" t="s">
        <v>131</v>
      </c>
    </row>
    <row r="29" spans="1:8" x14ac:dyDescent="0.25">
      <c r="A29" t="s">
        <v>132</v>
      </c>
      <c r="B29" t="s">
        <v>117</v>
      </c>
      <c r="C29" t="s">
        <v>118</v>
      </c>
      <c r="D29" s="5">
        <v>8319.1077710000009</v>
      </c>
      <c r="E29" s="5">
        <v>8125.7992439999998</v>
      </c>
      <c r="F29" s="5">
        <v>7306.8985949999997</v>
      </c>
      <c r="G29" t="s">
        <v>59</v>
      </c>
      <c r="H29" t="s">
        <v>133</v>
      </c>
    </row>
    <row r="30" spans="1:8" x14ac:dyDescent="0.25">
      <c r="A30" t="s">
        <v>134</v>
      </c>
      <c r="B30" t="s">
        <v>117</v>
      </c>
      <c r="C30" t="s">
        <v>118</v>
      </c>
      <c r="D30" s="5">
        <v>5911.4109179999996</v>
      </c>
      <c r="E30" s="5">
        <v>5379.7112639999996</v>
      </c>
      <c r="F30" s="5">
        <v>4701.2298090000004</v>
      </c>
      <c r="G30" t="s">
        <v>59</v>
      </c>
      <c r="H30" t="s">
        <v>59</v>
      </c>
    </row>
    <row r="31" spans="1:8" x14ac:dyDescent="0.25">
      <c r="A31" t="s">
        <v>135</v>
      </c>
      <c r="B31" t="s">
        <v>117</v>
      </c>
      <c r="C31" t="s">
        <v>118</v>
      </c>
      <c r="D31" s="5">
        <v>6996.3580910000001</v>
      </c>
      <c r="E31" s="5">
        <v>6549.7640799999999</v>
      </c>
      <c r="F31" s="5">
        <v>5777.1493620000001</v>
      </c>
      <c r="G31" t="s">
        <v>59</v>
      </c>
      <c r="H31" t="s">
        <v>136</v>
      </c>
    </row>
    <row r="32" spans="1:8" x14ac:dyDescent="0.25">
      <c r="A32" t="s">
        <v>216</v>
      </c>
      <c r="B32" t="s">
        <v>117</v>
      </c>
      <c r="D32" s="17">
        <v>4174.43</v>
      </c>
      <c r="E32" s="17">
        <v>4043.25</v>
      </c>
      <c r="F32" s="17">
        <v>3826.04</v>
      </c>
    </row>
    <row r="33" spans="1:8" x14ac:dyDescent="0.25">
      <c r="A33" t="s">
        <v>143</v>
      </c>
      <c r="B33" t="s">
        <v>14</v>
      </c>
      <c r="D33" s="15">
        <v>11.3</v>
      </c>
      <c r="E33" s="15">
        <v>16.18</v>
      </c>
      <c r="F33" s="15">
        <v>16.73</v>
      </c>
    </row>
    <row r="34" spans="1:8" x14ac:dyDescent="0.25">
      <c r="A34" t="s">
        <v>137</v>
      </c>
      <c r="B34" t="s">
        <v>138</v>
      </c>
      <c r="C34" t="s">
        <v>139</v>
      </c>
      <c r="D34" s="6"/>
      <c r="E34" s="6"/>
      <c r="F34" s="6"/>
      <c r="G34" t="s">
        <v>35</v>
      </c>
      <c r="H34" t="s">
        <v>140</v>
      </c>
    </row>
    <row r="35" spans="1:8" x14ac:dyDescent="0.25">
      <c r="A35" t="s">
        <v>217</v>
      </c>
      <c r="B35" t="s">
        <v>14</v>
      </c>
      <c r="C35" t="s">
        <v>118</v>
      </c>
      <c r="D35" s="11">
        <v>4.0146407065941103</v>
      </c>
      <c r="E35" s="11">
        <v>3.1653074396333198</v>
      </c>
      <c r="F35" s="11">
        <v>3.5382180502259999</v>
      </c>
      <c r="G35" t="s">
        <v>22</v>
      </c>
      <c r="H35" t="s">
        <v>218</v>
      </c>
    </row>
    <row r="36" spans="1:8" x14ac:dyDescent="0.25">
      <c r="A36" t="s">
        <v>219</v>
      </c>
      <c r="B36" t="s">
        <v>14</v>
      </c>
      <c r="C36" t="s">
        <v>118</v>
      </c>
      <c r="D36" s="11">
        <v>95.985359293405907</v>
      </c>
      <c r="E36" s="11">
        <v>96.834692560366705</v>
      </c>
      <c r="F36" s="11">
        <v>96.461781949773993</v>
      </c>
      <c r="G36" t="s">
        <v>22</v>
      </c>
      <c r="H36" t="s">
        <v>220</v>
      </c>
    </row>
    <row r="37" spans="1:8" x14ac:dyDescent="0.25">
      <c r="A37" t="s">
        <v>144</v>
      </c>
      <c r="B37" t="s">
        <v>14</v>
      </c>
      <c r="C37" t="s">
        <v>118</v>
      </c>
      <c r="D37" s="11">
        <v>2.3789478572552198</v>
      </c>
      <c r="E37" s="11">
        <v>11.2072261350439</v>
      </c>
      <c r="F37" s="11">
        <v>4.0214495854928698</v>
      </c>
      <c r="G37" t="s">
        <v>35</v>
      </c>
      <c r="H37" t="s">
        <v>145</v>
      </c>
    </row>
    <row r="38" spans="1:8" x14ac:dyDescent="0.25">
      <c r="A38" t="s">
        <v>146</v>
      </c>
      <c r="B38" t="s">
        <v>14</v>
      </c>
      <c r="C38" t="s">
        <v>118</v>
      </c>
      <c r="D38" s="11">
        <v>16.098729920213799</v>
      </c>
      <c r="E38" s="11">
        <v>-10.0980904321168</v>
      </c>
      <c r="F38" s="11">
        <v>23.434603125495901</v>
      </c>
      <c r="G38" t="s">
        <v>35</v>
      </c>
      <c r="H38" t="s">
        <v>147</v>
      </c>
    </row>
    <row r="39" spans="1:8" x14ac:dyDescent="0.25">
      <c r="A39" t="s">
        <v>148</v>
      </c>
      <c r="B39" t="s">
        <v>14</v>
      </c>
      <c r="C39" t="s">
        <v>118</v>
      </c>
      <c r="D39" s="11">
        <v>9.9508394372600009</v>
      </c>
      <c r="E39" s="11">
        <v>-2.9547153287648098</v>
      </c>
      <c r="F39" s="11">
        <v>-3.06149924547588</v>
      </c>
      <c r="G39" t="s">
        <v>35</v>
      </c>
      <c r="H39" t="s">
        <v>149</v>
      </c>
    </row>
    <row r="40" spans="1:8" x14ac:dyDescent="0.25">
      <c r="A40" t="s">
        <v>150</v>
      </c>
      <c r="B40" t="s">
        <v>14</v>
      </c>
      <c r="C40" t="s">
        <v>118</v>
      </c>
      <c r="D40" s="11">
        <v>63.357970192686103</v>
      </c>
      <c r="E40" s="11">
        <v>-8.2705153310347796</v>
      </c>
      <c r="F40" s="11">
        <v>16.728568361340901</v>
      </c>
      <c r="G40" t="s">
        <v>35</v>
      </c>
      <c r="H40" t="s">
        <v>151</v>
      </c>
    </row>
    <row r="41" spans="1:8" x14ac:dyDescent="0.25">
      <c r="A41" t="s">
        <v>152</v>
      </c>
      <c r="B41" t="s">
        <v>14</v>
      </c>
      <c r="C41" t="s">
        <v>118</v>
      </c>
      <c r="D41" s="11">
        <v>-11.9603078973661</v>
      </c>
      <c r="E41" s="11">
        <v>-10.932944873356499</v>
      </c>
      <c r="F41" s="11">
        <v>3.7642206256119102</v>
      </c>
      <c r="G41" t="s">
        <v>35</v>
      </c>
      <c r="H41" t="s">
        <v>153</v>
      </c>
    </row>
    <row r="42" spans="1:8" x14ac:dyDescent="0.25">
      <c r="A42" t="s">
        <v>164</v>
      </c>
      <c r="B42" t="s">
        <v>59</v>
      </c>
      <c r="C42" t="s">
        <v>102</v>
      </c>
      <c r="D42" s="6">
        <v>0.45</v>
      </c>
      <c r="E42" s="6">
        <v>0.55000000000000004</v>
      </c>
      <c r="F42" s="6">
        <v>0.5</v>
      </c>
      <c r="G42" t="s">
        <v>165</v>
      </c>
      <c r="H42" t="s">
        <v>166</v>
      </c>
    </row>
    <row r="43" spans="1:8" x14ac:dyDescent="0.25">
      <c r="A43" t="s">
        <v>167</v>
      </c>
      <c r="B43" t="s">
        <v>101</v>
      </c>
      <c r="C43" t="s">
        <v>102</v>
      </c>
      <c r="D43" s="6">
        <v>21</v>
      </c>
      <c r="E43" s="6">
        <v>21</v>
      </c>
      <c r="F43" s="6">
        <v>20</v>
      </c>
      <c r="G43" t="s">
        <v>168</v>
      </c>
      <c r="H43" t="s">
        <v>59</v>
      </c>
    </row>
    <row r="44" spans="1:8" x14ac:dyDescent="0.25">
      <c r="A44" t="s">
        <v>169</v>
      </c>
      <c r="B44" t="s">
        <v>101</v>
      </c>
      <c r="C44" t="s">
        <v>102</v>
      </c>
      <c r="D44" s="6">
        <v>47</v>
      </c>
      <c r="E44" s="6">
        <v>38</v>
      </c>
      <c r="F44" s="6">
        <v>40</v>
      </c>
      <c r="G44" t="s">
        <v>168</v>
      </c>
      <c r="H44" t="s">
        <v>59</v>
      </c>
    </row>
    <row r="45" spans="1:8" x14ac:dyDescent="0.25">
      <c r="A45" t="s">
        <v>221</v>
      </c>
      <c r="B45" t="s">
        <v>14</v>
      </c>
      <c r="C45" t="s">
        <v>102</v>
      </c>
      <c r="D45" s="6">
        <v>52.38</v>
      </c>
      <c r="E45" s="6">
        <v>52.38</v>
      </c>
      <c r="F45" s="6">
        <v>55</v>
      </c>
      <c r="G45" t="s">
        <v>59</v>
      </c>
      <c r="H45" t="s">
        <v>222</v>
      </c>
    </row>
    <row r="46" spans="1:8" x14ac:dyDescent="0.25">
      <c r="A46" t="s">
        <v>223</v>
      </c>
      <c r="B46" t="s">
        <v>14</v>
      </c>
      <c r="C46" t="s">
        <v>102</v>
      </c>
      <c r="D46" s="6">
        <v>4.76</v>
      </c>
      <c r="E46" s="6">
        <v>4.76</v>
      </c>
      <c r="F46" s="6">
        <v>5</v>
      </c>
      <c r="G46" t="s">
        <v>59</v>
      </c>
      <c r="H46" t="s">
        <v>224</v>
      </c>
    </row>
    <row r="47" spans="1:8" x14ac:dyDescent="0.25">
      <c r="A47" t="s">
        <v>225</v>
      </c>
      <c r="B47" t="s">
        <v>14</v>
      </c>
      <c r="C47" t="s">
        <v>102</v>
      </c>
      <c r="D47" s="6">
        <v>52.38</v>
      </c>
      <c r="E47" s="6">
        <v>52.38</v>
      </c>
      <c r="F47" s="6">
        <v>50</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1302137.08823529</v>
      </c>
      <c r="E51" s="6">
        <v>1937868.52542373</v>
      </c>
      <c r="F51" s="6">
        <v>1132108.83333333</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0.19</v>
      </c>
      <c r="E54" s="6">
        <v>0.14299999999999999</v>
      </c>
      <c r="F54" s="6">
        <v>0</v>
      </c>
      <c r="G54" t="s">
        <v>205</v>
      </c>
      <c r="H54" t="s">
        <v>59</v>
      </c>
    </row>
    <row r="55" spans="1:8" x14ac:dyDescent="0.25">
      <c r="A55" t="s">
        <v>206</v>
      </c>
      <c r="B55" t="s">
        <v>207</v>
      </c>
      <c r="C55" t="s">
        <v>176</v>
      </c>
      <c r="D55" s="6">
        <v>0.83</v>
      </c>
      <c r="E55" s="6">
        <v>0.48599999999999999</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9.52</v>
      </c>
      <c r="E57" s="6">
        <v>4.76</v>
      </c>
      <c r="F57" s="6">
        <v>0</v>
      </c>
      <c r="G57" t="s">
        <v>59</v>
      </c>
      <c r="H57" t="s">
        <v>211</v>
      </c>
    </row>
    <row r="58" spans="1:8" x14ac:dyDescent="0.25">
      <c r="A58" t="s">
        <v>212</v>
      </c>
      <c r="B58" t="s">
        <v>14</v>
      </c>
      <c r="C58" t="s">
        <v>15</v>
      </c>
      <c r="D58" s="9">
        <v>2.22128199703829</v>
      </c>
      <c r="E58" s="9">
        <v>2.4819230017588398</v>
      </c>
      <c r="F58" s="9">
        <v>4.31443415405466</v>
      </c>
      <c r="G58" t="s">
        <v>59</v>
      </c>
      <c r="H58" t="s">
        <v>213</v>
      </c>
    </row>
    <row r="59" spans="1:8" x14ac:dyDescent="0.25">
      <c r="A59" t="s">
        <v>214</v>
      </c>
      <c r="B59" t="s">
        <v>14</v>
      </c>
      <c r="C59" t="s">
        <v>15</v>
      </c>
      <c r="D59" s="5">
        <v>1.7347154643537099</v>
      </c>
      <c r="E59" s="5">
        <v>1.1725620480750401</v>
      </c>
      <c r="F59" s="5">
        <v>1.33273096905354</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[1]放射治疗科!$O$4</f>
        <v>为肿瘤化学治疗疗程</v>
      </c>
      <c r="E72" s="10" t="str">
        <f>[1]放射治疗科!$I$4</f>
        <v>为肿瘤化学治疗疗程</v>
      </c>
      <c r="F72" s="10" t="str">
        <f>[1]放射治疗科!$C$4</f>
        <v>为肿瘤化学治疗疗程</v>
      </c>
      <c r="G72" t="s">
        <v>59</v>
      </c>
      <c r="H72" t="s">
        <v>59</v>
      </c>
    </row>
    <row r="73" spans="1:8" x14ac:dyDescent="0.25">
      <c r="A73" t="s">
        <v>241</v>
      </c>
      <c r="B73" t="s">
        <v>59</v>
      </c>
      <c r="C73" t="s">
        <v>90</v>
      </c>
      <c r="D73" s="10" t="str">
        <f>[1]放射治疗科!$N$4</f>
        <v>Z51.1</v>
      </c>
      <c r="E73" s="10" t="str">
        <f>[1]放射治疗科!$H$4</f>
        <v>Z51.1</v>
      </c>
      <c r="F73" s="10" t="str">
        <f>[1]放射治疗科!$B$4</f>
        <v>Z51.1</v>
      </c>
      <c r="G73" t="s">
        <v>59</v>
      </c>
      <c r="H73" t="s">
        <v>59</v>
      </c>
    </row>
    <row r="74" spans="1:8" x14ac:dyDescent="0.25">
      <c r="A74" t="s">
        <v>242</v>
      </c>
      <c r="B74" t="s">
        <v>14</v>
      </c>
      <c r="C74" t="s">
        <v>90</v>
      </c>
      <c r="D74" s="10">
        <f>[1]放射治疗科!$Q$4</f>
        <v>43.727522741696603</v>
      </c>
      <c r="E74" s="10">
        <f>[1]放射治疗科!$K$4</f>
        <v>42.075434825092799</v>
      </c>
      <c r="F74" s="10">
        <f>[1]放射治疗科!$E$4</f>
        <v>38.287779534673597</v>
      </c>
      <c r="G74" t="s">
        <v>59</v>
      </c>
      <c r="H74" t="s">
        <v>59</v>
      </c>
    </row>
    <row r="75" spans="1:8" x14ac:dyDescent="0.25">
      <c r="A75" t="s">
        <v>243</v>
      </c>
      <c r="B75" t="s">
        <v>59</v>
      </c>
      <c r="C75" t="s">
        <v>90</v>
      </c>
      <c r="D75" s="10" t="str">
        <f>[1]放射治疗科!$O$5</f>
        <v>放射治疗疗程</v>
      </c>
      <c r="E75" s="10" t="str">
        <f>[1]放射治疗科!$I$5</f>
        <v>放射治疗疗程</v>
      </c>
      <c r="F75" s="10" t="str">
        <f>[1]放射治疗科!$C$5</f>
        <v>放射治疗疗程</v>
      </c>
      <c r="G75" t="s">
        <v>59</v>
      </c>
      <c r="H75" t="s">
        <v>59</v>
      </c>
    </row>
    <row r="76" spans="1:8" x14ac:dyDescent="0.25">
      <c r="A76" t="s">
        <v>244</v>
      </c>
      <c r="B76" t="s">
        <v>59</v>
      </c>
      <c r="C76" t="s">
        <v>90</v>
      </c>
      <c r="D76" s="10" t="str">
        <f>[1]放射治疗科!$N$5</f>
        <v>Z51.0</v>
      </c>
      <c r="E76" s="10" t="str">
        <f>[1]放射治疗科!$H$5</f>
        <v>Z51.0</v>
      </c>
      <c r="F76" s="10" t="str">
        <f>[1]放射治疗科!$B$5</f>
        <v>Z51.0</v>
      </c>
      <c r="G76" t="s">
        <v>59</v>
      </c>
      <c r="H76" t="s">
        <v>59</v>
      </c>
    </row>
    <row r="77" spans="1:8" x14ac:dyDescent="0.25">
      <c r="A77" t="s">
        <v>245</v>
      </c>
      <c r="B77" t="s">
        <v>14</v>
      </c>
      <c r="C77" t="s">
        <v>90</v>
      </c>
      <c r="D77" s="10">
        <f>[1]放射治疗科!$Q$5</f>
        <v>33.382695155489699</v>
      </c>
      <c r="E77" s="10">
        <f>[1]放射治疗科!$K$5</f>
        <v>28.669142075434799</v>
      </c>
      <c r="F77" s="10">
        <f>[1]放射治疗科!$E$5</f>
        <v>26.067314208267501</v>
      </c>
      <c r="G77" t="s">
        <v>59</v>
      </c>
      <c r="H77" t="s">
        <v>59</v>
      </c>
    </row>
    <row r="78" spans="1:8" x14ac:dyDescent="0.25">
      <c r="A78" t="s">
        <v>246</v>
      </c>
      <c r="B78" t="s">
        <v>59</v>
      </c>
      <c r="C78" t="s">
        <v>90</v>
      </c>
      <c r="D78" s="10" t="str">
        <f>[1]放射治疗科!$O$6</f>
        <v>其他特指的医疗照顾</v>
      </c>
      <c r="E78" s="10" t="str">
        <f>[1]放射治疗科!$I$6</f>
        <v>各类抗肿瘤治疗</v>
      </c>
      <c r="F78" s="10" t="str">
        <f>[1]放射治疗科!$C$6</f>
        <v>各类抗肿瘤治疗</v>
      </c>
      <c r="G78" t="s">
        <v>59</v>
      </c>
      <c r="H78" t="s">
        <v>59</v>
      </c>
    </row>
    <row r="79" spans="1:8" x14ac:dyDescent="0.25">
      <c r="A79" t="s">
        <v>247</v>
      </c>
      <c r="B79" t="s">
        <v>59</v>
      </c>
      <c r="C79" t="s">
        <v>90</v>
      </c>
      <c r="D79" s="10" t="str">
        <f>[1]放射治疗科!$N$6</f>
        <v>Z51.8</v>
      </c>
      <c r="E79" s="10" t="str">
        <f>[1]放射治疗科!$H$6</f>
        <v>Z51.8</v>
      </c>
      <c r="F79" s="10" t="str">
        <f>[1]放射治疗科!$B$6</f>
        <v>Z51.8</v>
      </c>
      <c r="G79" t="s">
        <v>59</v>
      </c>
      <c r="H79" t="s">
        <v>59</v>
      </c>
    </row>
    <row r="80" spans="1:8" x14ac:dyDescent="0.25">
      <c r="A80" t="s">
        <v>248</v>
      </c>
      <c r="B80" t="s">
        <v>14</v>
      </c>
      <c r="C80" t="s">
        <v>90</v>
      </c>
      <c r="D80" s="10">
        <f>[1]放射治疗科!$Q$6</f>
        <v>8.2504759889993693</v>
      </c>
      <c r="E80" s="10">
        <f>[1]放射治疗科!$K$6</f>
        <v>12.5073285128005</v>
      </c>
      <c r="F80" s="10">
        <f>[1]放射治疗科!$E$6</f>
        <v>12.3334086288683</v>
      </c>
      <c r="G80" t="s">
        <v>59</v>
      </c>
      <c r="H80" t="s">
        <v>59</v>
      </c>
    </row>
    <row r="81" spans="1:8" x14ac:dyDescent="0.25">
      <c r="A81" t="s">
        <v>249</v>
      </c>
      <c r="B81" t="s">
        <v>59</v>
      </c>
      <c r="C81" t="s">
        <v>90</v>
      </c>
      <c r="D81" s="10" t="str">
        <f>[1]放射治疗科!$O$7</f>
        <v>鼻咽恶性肿瘤</v>
      </c>
      <c r="E81" s="10" t="str">
        <f>[1]放射治疗科!$I$7</f>
        <v>鼻咽恶性肿瘤</v>
      </c>
      <c r="F81" s="10" t="str">
        <f>[1]放射治疗科!$C$7</f>
        <v>鼻咽恶性肿瘤</v>
      </c>
      <c r="G81" t="s">
        <v>59</v>
      </c>
      <c r="H81" t="s">
        <v>59</v>
      </c>
    </row>
    <row r="82" spans="1:8" x14ac:dyDescent="0.25">
      <c r="A82" t="s">
        <v>250</v>
      </c>
      <c r="B82" t="s">
        <v>59</v>
      </c>
      <c r="C82" t="s">
        <v>90</v>
      </c>
      <c r="D82" s="10" t="str">
        <f>[1]放射治疗科!$N$7</f>
        <v>C11</v>
      </c>
      <c r="E82" s="10" t="str">
        <f>[1]放射治疗科!$H$7</f>
        <v>C11</v>
      </c>
      <c r="F82" s="10" t="str">
        <f>[1]放射治疗科!$B$7</f>
        <v>C11</v>
      </c>
      <c r="G82" t="s">
        <v>59</v>
      </c>
      <c r="H82" t="s">
        <v>59</v>
      </c>
    </row>
    <row r="83" spans="1:8" x14ac:dyDescent="0.25">
      <c r="A83" t="s">
        <v>251</v>
      </c>
      <c r="B83" t="s">
        <v>14</v>
      </c>
      <c r="C83" t="s">
        <v>90</v>
      </c>
      <c r="D83" s="10">
        <f>[1]放射治疗科!$Q$7</f>
        <v>4.2944785276073603</v>
      </c>
      <c r="E83" s="10">
        <f>[1]放射治疗科!$K$7</f>
        <v>4.5339065858901701</v>
      </c>
      <c r="F83" s="10">
        <f>[1]放射治疗科!$E$7</f>
        <v>5.1050372712898104</v>
      </c>
      <c r="G83" t="s">
        <v>59</v>
      </c>
      <c r="H83" t="s">
        <v>59</v>
      </c>
    </row>
    <row r="84" spans="1:8" x14ac:dyDescent="0.25">
      <c r="A84" t="s">
        <v>252</v>
      </c>
      <c r="B84" t="s">
        <v>59</v>
      </c>
      <c r="C84" t="s">
        <v>90</v>
      </c>
      <c r="D84" s="10" t="str">
        <f>[1]放射治疗科!$O$8</f>
        <v>宫颈恶性肿瘤</v>
      </c>
      <c r="E84" s="10" t="str">
        <f>[1]放射治疗科!$I$8</f>
        <v>宫颈恶性肿瘤</v>
      </c>
      <c r="F84" s="10" t="str">
        <f>[1]放射治疗科!$C$8</f>
        <v>宫颈恶性肿瘤</v>
      </c>
      <c r="G84" t="s">
        <v>59</v>
      </c>
      <c r="H84" t="s">
        <v>59</v>
      </c>
    </row>
    <row r="85" spans="1:8" x14ac:dyDescent="0.25">
      <c r="A85" t="s">
        <v>253</v>
      </c>
      <c r="B85" t="s">
        <v>59</v>
      </c>
      <c r="C85" t="s">
        <v>90</v>
      </c>
      <c r="D85" s="10" t="str">
        <f>[1]放射治疗科!$N$8</f>
        <v>C53</v>
      </c>
      <c r="E85" s="10" t="str">
        <f>[1]放射治疗科!$H$8</f>
        <v>C53</v>
      </c>
      <c r="F85" s="10" t="str">
        <f>[1]放射治疗科!$B$8</f>
        <v>C53</v>
      </c>
      <c r="G85" t="s">
        <v>59</v>
      </c>
      <c r="H85" t="s">
        <v>59</v>
      </c>
    </row>
    <row r="86" spans="1:8" x14ac:dyDescent="0.25">
      <c r="A86" t="s">
        <v>254</v>
      </c>
      <c r="B86" t="s">
        <v>14</v>
      </c>
      <c r="C86" t="s">
        <v>90</v>
      </c>
      <c r="D86" s="10">
        <f>[1]放射治疗科!$Q$8</f>
        <v>0.57118679923841797</v>
      </c>
      <c r="E86" s="10">
        <f>[1]放射治疗科!$K$8</f>
        <v>1.11393394567129</v>
      </c>
      <c r="F86" s="10">
        <f>[1]放射治疗科!$E$8</f>
        <v>1.6037948949627301</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01"/>
  <sheetViews>
    <sheetView topLeftCell="A20"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11">
        <v>28.297055057618401</v>
      </c>
      <c r="E2" s="11">
        <v>26.094495015171201</v>
      </c>
      <c r="F2" s="11">
        <v>22.987117552334901</v>
      </c>
      <c r="G2" t="s">
        <v>16</v>
      </c>
      <c r="H2" t="s">
        <v>17</v>
      </c>
    </row>
    <row r="3" spans="1:8" x14ac:dyDescent="0.25">
      <c r="A3" t="s">
        <v>18</v>
      </c>
      <c r="B3" t="s">
        <v>14</v>
      </c>
      <c r="C3" t="s">
        <v>15</v>
      </c>
      <c r="D3" s="11">
        <v>0.75414781297134204</v>
      </c>
      <c r="E3" s="11">
        <v>0</v>
      </c>
      <c r="F3" s="11">
        <v>0.17513134851138401</v>
      </c>
      <c r="G3" t="s">
        <v>19</v>
      </c>
      <c r="H3" t="s">
        <v>20</v>
      </c>
    </row>
    <row r="4" spans="1:8" x14ac:dyDescent="0.25">
      <c r="A4" t="s">
        <v>21</v>
      </c>
      <c r="B4" t="s">
        <v>14</v>
      </c>
      <c r="C4" t="s">
        <v>15</v>
      </c>
      <c r="D4" s="6">
        <v>0</v>
      </c>
      <c r="E4" s="6">
        <v>0</v>
      </c>
      <c r="F4" s="6">
        <v>0.70052539404553404</v>
      </c>
      <c r="G4" t="s">
        <v>22</v>
      </c>
      <c r="H4" t="s">
        <v>23</v>
      </c>
    </row>
    <row r="5" spans="1:8" x14ac:dyDescent="0.25">
      <c r="A5" t="s">
        <v>24</v>
      </c>
      <c r="B5" t="s">
        <v>14</v>
      </c>
      <c r="C5" t="s">
        <v>15</v>
      </c>
      <c r="D5" s="6">
        <v>99.62</v>
      </c>
      <c r="E5" s="6">
        <v>99.83</v>
      </c>
      <c r="F5" s="6">
        <v>99.64</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0.05</v>
      </c>
      <c r="E7" s="6">
        <v>0</v>
      </c>
      <c r="F7" s="6">
        <v>0.05</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0.94</v>
      </c>
      <c r="E10" s="6">
        <v>1.08</v>
      </c>
      <c r="F10" s="6">
        <v>1.33</v>
      </c>
      <c r="G10" t="s">
        <v>58</v>
      </c>
      <c r="H10" t="s">
        <v>59</v>
      </c>
    </row>
    <row r="11" spans="1:8" x14ac:dyDescent="0.25">
      <c r="A11" t="s">
        <v>63</v>
      </c>
      <c r="B11" t="s">
        <v>64</v>
      </c>
      <c r="C11" t="s">
        <v>61</v>
      </c>
      <c r="D11" s="6">
        <v>32.792559916412898</v>
      </c>
      <c r="E11" s="6">
        <v>35.5402337001305</v>
      </c>
      <c r="F11" s="6">
        <v>31.090324663032501</v>
      </c>
      <c r="G11" t="s">
        <v>35</v>
      </c>
      <c r="H11" t="s">
        <v>65</v>
      </c>
    </row>
    <row r="12" spans="1:8" x14ac:dyDescent="0.25">
      <c r="A12" t="s">
        <v>66</v>
      </c>
      <c r="B12" t="s">
        <v>14</v>
      </c>
      <c r="C12" t="s">
        <v>61</v>
      </c>
      <c r="D12" s="6">
        <v>89.45</v>
      </c>
      <c r="E12" s="6">
        <v>89.24</v>
      </c>
      <c r="F12" s="6">
        <v>75.150000000000006</v>
      </c>
      <c r="G12" t="s">
        <v>39</v>
      </c>
      <c r="H12" t="s">
        <v>67</v>
      </c>
    </row>
    <row r="13" spans="1:8" x14ac:dyDescent="0.25">
      <c r="A13" t="s">
        <v>68</v>
      </c>
      <c r="B13" t="s">
        <v>14</v>
      </c>
      <c r="C13" t="s">
        <v>61</v>
      </c>
      <c r="D13" s="6">
        <v>99.11</v>
      </c>
      <c r="E13" s="6">
        <v>98.7</v>
      </c>
      <c r="F13" s="6">
        <v>97.33</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6.24</v>
      </c>
      <c r="E15" s="6">
        <v>6.18</v>
      </c>
      <c r="F15" s="6">
        <v>6.85</v>
      </c>
      <c r="G15" t="s">
        <v>93</v>
      </c>
      <c r="H15" t="s">
        <v>94</v>
      </c>
    </row>
    <row r="16" spans="1:8" x14ac:dyDescent="0.25">
      <c r="A16" t="s">
        <v>95</v>
      </c>
      <c r="B16" t="s">
        <v>59</v>
      </c>
      <c r="C16" t="s">
        <v>34</v>
      </c>
      <c r="D16" s="6">
        <v>1.1299999999999999</v>
      </c>
      <c r="E16" s="6">
        <v>1.1399999999999999</v>
      </c>
      <c r="F16" s="6">
        <v>1.22</v>
      </c>
      <c r="G16" t="s">
        <v>96</v>
      </c>
      <c r="H16" t="s">
        <v>59</v>
      </c>
    </row>
    <row r="17" spans="1:8" x14ac:dyDescent="0.25">
      <c r="A17" t="s">
        <v>97</v>
      </c>
      <c r="B17" t="s">
        <v>98</v>
      </c>
      <c r="C17" t="s">
        <v>34</v>
      </c>
      <c r="D17" s="6">
        <v>73</v>
      </c>
      <c r="E17" s="6">
        <v>96</v>
      </c>
      <c r="F17" s="6">
        <v>114</v>
      </c>
      <c r="G17" t="s">
        <v>99</v>
      </c>
      <c r="H17" t="s">
        <v>59</v>
      </c>
    </row>
    <row r="18" spans="1:8" x14ac:dyDescent="0.25">
      <c r="A18" t="s">
        <v>104</v>
      </c>
      <c r="B18" t="s">
        <v>105</v>
      </c>
      <c r="C18" t="s">
        <v>15</v>
      </c>
      <c r="D18" s="6">
        <v>40</v>
      </c>
      <c r="E18" s="6">
        <v>40</v>
      </c>
      <c r="F18" s="6">
        <v>40</v>
      </c>
      <c r="G18" t="s">
        <v>58</v>
      </c>
      <c r="H18" t="s">
        <v>59</v>
      </c>
    </row>
    <row r="19" spans="1:8" x14ac:dyDescent="0.25">
      <c r="A19" t="s">
        <v>106</v>
      </c>
      <c r="B19" t="s">
        <v>105</v>
      </c>
      <c r="C19" t="s">
        <v>15</v>
      </c>
      <c r="D19" s="6">
        <v>47</v>
      </c>
      <c r="E19" s="6">
        <v>40</v>
      </c>
      <c r="F19" s="6">
        <v>52</v>
      </c>
      <c r="G19" t="s">
        <v>58</v>
      </c>
      <c r="H19" t="s">
        <v>59</v>
      </c>
    </row>
    <row r="20" spans="1:8" x14ac:dyDescent="0.25">
      <c r="A20" t="s">
        <v>107</v>
      </c>
      <c r="B20" t="s">
        <v>14</v>
      </c>
      <c r="C20" t="s">
        <v>15</v>
      </c>
      <c r="D20" s="6">
        <v>87.95</v>
      </c>
      <c r="E20" s="6">
        <v>83.75</v>
      </c>
      <c r="F20" s="6">
        <v>88.31</v>
      </c>
      <c r="G20" t="s">
        <v>58</v>
      </c>
      <c r="H20" t="s">
        <v>108</v>
      </c>
    </row>
    <row r="21" spans="1:8" x14ac:dyDescent="0.25">
      <c r="A21" t="s">
        <v>112</v>
      </c>
      <c r="B21" t="s">
        <v>59</v>
      </c>
      <c r="C21" t="s">
        <v>102</v>
      </c>
      <c r="D21" s="5">
        <f t="shared" ref="D21:F21" si="0">D43/D19</f>
        <v>0.23404255319148937</v>
      </c>
      <c r="E21" s="5">
        <f t="shared" si="0"/>
        <v>0.27500000000000002</v>
      </c>
      <c r="F21" s="5">
        <f t="shared" si="0"/>
        <v>0.21153846153846154</v>
      </c>
      <c r="G21" t="s">
        <v>110</v>
      </c>
      <c r="H21" t="s">
        <v>113</v>
      </c>
    </row>
    <row r="22" spans="1:8" x14ac:dyDescent="0.25">
      <c r="A22" t="s">
        <v>114</v>
      </c>
      <c r="B22" t="s">
        <v>59</v>
      </c>
      <c r="C22" t="s">
        <v>102</v>
      </c>
      <c r="D22" s="5">
        <f t="shared" ref="D22:F22" si="1">D44/D19</f>
        <v>1.0851063829787233</v>
      </c>
      <c r="E22" s="5">
        <f t="shared" si="1"/>
        <v>1.325</v>
      </c>
      <c r="F22" s="5">
        <f t="shared" si="1"/>
        <v>1.0192307692307692</v>
      </c>
      <c r="G22" t="s">
        <v>110</v>
      </c>
      <c r="H22" t="s">
        <v>115</v>
      </c>
    </row>
    <row r="23" spans="1:8" x14ac:dyDescent="0.25">
      <c r="A23" t="s">
        <v>116</v>
      </c>
      <c r="B23" t="s">
        <v>117</v>
      </c>
      <c r="C23" t="s">
        <v>118</v>
      </c>
      <c r="D23" s="34">
        <v>38.048876272727298</v>
      </c>
      <c r="E23" s="11">
        <v>33.449527268656702</v>
      </c>
      <c r="F23" s="11">
        <v>32.26896825</v>
      </c>
      <c r="G23" t="s">
        <v>119</v>
      </c>
      <c r="H23" t="s">
        <v>59</v>
      </c>
    </row>
    <row r="24" spans="1:8" x14ac:dyDescent="0.25">
      <c r="A24" t="s">
        <v>120</v>
      </c>
      <c r="B24" t="s">
        <v>117</v>
      </c>
      <c r="C24" t="s">
        <v>118</v>
      </c>
      <c r="D24" s="34">
        <v>50.197840636363601</v>
      </c>
      <c r="E24" s="11">
        <v>45.587623298507502</v>
      </c>
      <c r="F24" s="11">
        <v>44.788026125000002</v>
      </c>
      <c r="G24" t="s">
        <v>121</v>
      </c>
      <c r="H24" t="s">
        <v>59</v>
      </c>
    </row>
    <row r="25" spans="1:8" x14ac:dyDescent="0.25">
      <c r="A25" t="s">
        <v>122</v>
      </c>
      <c r="B25" t="s">
        <v>117</v>
      </c>
      <c r="C25" t="s">
        <v>118</v>
      </c>
      <c r="D25" s="34">
        <v>56.179548859060397</v>
      </c>
      <c r="E25" s="11">
        <v>47.703668092805501</v>
      </c>
      <c r="F25" s="11">
        <v>39.715653230769199</v>
      </c>
      <c r="G25" t="s">
        <v>123</v>
      </c>
      <c r="H25" t="s">
        <v>59</v>
      </c>
    </row>
    <row r="26" spans="1:8" x14ac:dyDescent="0.25">
      <c r="A26" t="s">
        <v>124</v>
      </c>
      <c r="B26" t="s">
        <v>117</v>
      </c>
      <c r="C26" t="s">
        <v>118</v>
      </c>
      <c r="D26" s="34">
        <v>74.117617046979802</v>
      </c>
      <c r="E26" s="11">
        <v>65.014277586206902</v>
      </c>
      <c r="F26" s="11">
        <v>55.123724461538501</v>
      </c>
      <c r="G26" t="s">
        <v>125</v>
      </c>
      <c r="H26" t="s">
        <v>59</v>
      </c>
    </row>
    <row r="27" spans="1:8" x14ac:dyDescent="0.25">
      <c r="A27" t="s">
        <v>126</v>
      </c>
      <c r="B27" t="s">
        <v>127</v>
      </c>
      <c r="C27" t="s">
        <v>118</v>
      </c>
      <c r="D27" s="11">
        <v>3.5738480697384798</v>
      </c>
      <c r="E27" s="11">
        <v>3.58704856787049</v>
      </c>
      <c r="F27" s="11">
        <v>4.1745952677459499</v>
      </c>
      <c r="G27" t="s">
        <v>39</v>
      </c>
      <c r="H27" t="s">
        <v>128</v>
      </c>
    </row>
    <row r="28" spans="1:8" x14ac:dyDescent="0.25">
      <c r="A28" t="s">
        <v>129</v>
      </c>
      <c r="B28" t="s">
        <v>14</v>
      </c>
      <c r="C28" t="s">
        <v>118</v>
      </c>
      <c r="D28" s="34">
        <v>44.374505984517199</v>
      </c>
      <c r="E28" s="11">
        <v>43.644270581619303</v>
      </c>
      <c r="F28" s="11">
        <v>42.466850805993602</v>
      </c>
      <c r="G28" t="s">
        <v>130</v>
      </c>
      <c r="H28" t="s">
        <v>131</v>
      </c>
    </row>
    <row r="29" spans="1:8" x14ac:dyDescent="0.25">
      <c r="A29" t="s">
        <v>132</v>
      </c>
      <c r="B29" t="s">
        <v>117</v>
      </c>
      <c r="C29" t="s">
        <v>118</v>
      </c>
      <c r="D29" s="34">
        <v>5659.1634729999996</v>
      </c>
      <c r="E29" s="11">
        <v>5134.965706</v>
      </c>
      <c r="F29" s="11">
        <v>4863.1201250000004</v>
      </c>
      <c r="G29" t="s">
        <v>59</v>
      </c>
      <c r="H29" t="s">
        <v>133</v>
      </c>
    </row>
    <row r="30" spans="1:8" x14ac:dyDescent="0.25">
      <c r="A30" t="s">
        <v>134</v>
      </c>
      <c r="B30" t="s">
        <v>117</v>
      </c>
      <c r="C30" t="s">
        <v>118</v>
      </c>
      <c r="D30" s="34">
        <v>2511.2258339999998</v>
      </c>
      <c r="E30" s="11">
        <v>2241.1183270000001</v>
      </c>
      <c r="F30" s="11">
        <v>2065.213968</v>
      </c>
      <c r="G30" t="s">
        <v>59</v>
      </c>
      <c r="H30" t="s">
        <v>59</v>
      </c>
    </row>
    <row r="31" spans="1:8" x14ac:dyDescent="0.25">
      <c r="A31" t="s">
        <v>135</v>
      </c>
      <c r="B31" t="s">
        <v>117</v>
      </c>
      <c r="C31" t="s">
        <v>118</v>
      </c>
      <c r="D31" s="34">
        <v>3313.0574820000002</v>
      </c>
      <c r="E31" s="11">
        <v>3054.3707610000001</v>
      </c>
      <c r="F31" s="11">
        <v>2866.4336720000001</v>
      </c>
      <c r="G31" t="s">
        <v>59</v>
      </c>
      <c r="H31" t="s">
        <v>136</v>
      </c>
    </row>
    <row r="32" spans="1:8" x14ac:dyDescent="0.25">
      <c r="A32" t="s">
        <v>216</v>
      </c>
      <c r="B32" t="s">
        <v>117</v>
      </c>
      <c r="D32" s="17">
        <v>4693.53</v>
      </c>
      <c r="E32" s="17">
        <v>4132.4399999999996</v>
      </c>
      <c r="F32" s="17">
        <v>3983.2</v>
      </c>
    </row>
    <row r="33" spans="1:8" x14ac:dyDescent="0.25">
      <c r="A33" t="s">
        <v>143</v>
      </c>
      <c r="B33" t="s">
        <v>14</v>
      </c>
      <c r="D33" s="15">
        <v>-4.75</v>
      </c>
      <c r="E33" s="15">
        <v>-1.74</v>
      </c>
      <c r="F33" s="15">
        <v>-2.23</v>
      </c>
    </row>
    <row r="34" spans="1:8" x14ac:dyDescent="0.25">
      <c r="A34" t="s">
        <v>137</v>
      </c>
      <c r="B34" t="s">
        <v>138</v>
      </c>
      <c r="C34" t="s">
        <v>139</v>
      </c>
      <c r="D34" s="6"/>
      <c r="E34" s="6"/>
      <c r="F34" s="6"/>
      <c r="G34" t="s">
        <v>35</v>
      </c>
      <c r="H34" t="s">
        <v>140</v>
      </c>
    </row>
    <row r="35" spans="1:8" x14ac:dyDescent="0.25">
      <c r="A35" t="s">
        <v>217</v>
      </c>
      <c r="B35" t="s">
        <v>14</v>
      </c>
      <c r="C35" t="s">
        <v>118</v>
      </c>
      <c r="D35" s="34">
        <v>7.2645144456670803</v>
      </c>
      <c r="E35" s="11">
        <v>6.5075482901384696</v>
      </c>
      <c r="F35" s="11">
        <v>7.5199802307988399</v>
      </c>
      <c r="G35" t="s">
        <v>22</v>
      </c>
      <c r="H35" t="s">
        <v>218</v>
      </c>
    </row>
    <row r="36" spans="1:8" x14ac:dyDescent="0.25">
      <c r="A36" t="s">
        <v>219</v>
      </c>
      <c r="B36" t="s">
        <v>14</v>
      </c>
      <c r="C36" t="s">
        <v>118</v>
      </c>
      <c r="D36" s="34">
        <v>92.735485554332897</v>
      </c>
      <c r="E36" s="11">
        <v>93.492451709861498</v>
      </c>
      <c r="F36" s="11">
        <v>92.480019769201206</v>
      </c>
      <c r="G36" t="s">
        <v>22</v>
      </c>
      <c r="H36" t="s">
        <v>220</v>
      </c>
    </row>
    <row r="37" spans="1:8" x14ac:dyDescent="0.25">
      <c r="A37" t="s">
        <v>144</v>
      </c>
      <c r="B37" t="s">
        <v>14</v>
      </c>
      <c r="C37" t="s">
        <v>118</v>
      </c>
      <c r="D37" s="34">
        <v>10.208398595291399</v>
      </c>
      <c r="E37" s="11">
        <v>5.5899417249126602</v>
      </c>
      <c r="F37" s="11">
        <v>8.1735917996472196</v>
      </c>
      <c r="G37" t="s">
        <v>35</v>
      </c>
      <c r="H37" t="s">
        <v>145</v>
      </c>
    </row>
    <row r="38" spans="1:8" x14ac:dyDescent="0.25">
      <c r="A38" t="s">
        <v>146</v>
      </c>
      <c r="B38" t="s">
        <v>14</v>
      </c>
      <c r="C38" t="s">
        <v>118</v>
      </c>
      <c r="D38" s="35">
        <v>3.6104500521318599</v>
      </c>
      <c r="E38" s="11">
        <v>4.6610129434441898</v>
      </c>
      <c r="F38" s="11">
        <v>14.7580127117846</v>
      </c>
      <c r="G38" t="s">
        <v>35</v>
      </c>
      <c r="H38" t="s">
        <v>147</v>
      </c>
    </row>
    <row r="39" spans="1:8" x14ac:dyDescent="0.25">
      <c r="A39" t="s">
        <v>148</v>
      </c>
      <c r="B39" t="s">
        <v>14</v>
      </c>
      <c r="C39" t="s">
        <v>118</v>
      </c>
      <c r="D39" s="35">
        <v>10.792798695399499</v>
      </c>
      <c r="E39" s="11">
        <v>12.071724316337001</v>
      </c>
      <c r="F39" s="11">
        <v>0.41707860981718597</v>
      </c>
      <c r="G39" t="s">
        <v>35</v>
      </c>
      <c r="H39" t="s">
        <v>149</v>
      </c>
    </row>
    <row r="40" spans="1:8" x14ac:dyDescent="0.25">
      <c r="A40" t="s">
        <v>150</v>
      </c>
      <c r="B40" t="s">
        <v>14</v>
      </c>
      <c r="C40" t="s">
        <v>118</v>
      </c>
      <c r="D40" s="35">
        <v>8.4432424311185095</v>
      </c>
      <c r="E40" s="11">
        <v>6.90730403435255</v>
      </c>
      <c r="F40" s="11">
        <v>17.7905584138949</v>
      </c>
      <c r="G40" t="s">
        <v>35</v>
      </c>
      <c r="H40" t="s">
        <v>151</v>
      </c>
    </row>
    <row r="41" spans="1:8" x14ac:dyDescent="0.25">
      <c r="A41" t="s">
        <v>152</v>
      </c>
      <c r="B41" t="s">
        <v>14</v>
      </c>
      <c r="C41" t="s">
        <v>118</v>
      </c>
      <c r="D41" s="35">
        <v>13.9736110240251</v>
      </c>
      <c r="E41" s="11">
        <v>6.5910767266242098</v>
      </c>
      <c r="F41" s="11">
        <v>3.5643852265316002E-2</v>
      </c>
      <c r="G41" t="s">
        <v>35</v>
      </c>
      <c r="H41" t="s">
        <v>153</v>
      </c>
    </row>
    <row r="42" spans="1:8" x14ac:dyDescent="0.25">
      <c r="A42" t="s">
        <v>164</v>
      </c>
      <c r="B42" t="s">
        <v>59</v>
      </c>
      <c r="C42" t="s">
        <v>102</v>
      </c>
      <c r="D42" s="6">
        <v>0.22</v>
      </c>
      <c r="E42" s="6">
        <v>0.21</v>
      </c>
      <c r="F42" s="6">
        <v>0.21</v>
      </c>
      <c r="G42" t="s">
        <v>165</v>
      </c>
      <c r="H42" t="s">
        <v>166</v>
      </c>
    </row>
    <row r="43" spans="1:8" x14ac:dyDescent="0.25">
      <c r="A43" t="s">
        <v>167</v>
      </c>
      <c r="B43" t="s">
        <v>101</v>
      </c>
      <c r="C43" t="s">
        <v>102</v>
      </c>
      <c r="D43" s="6">
        <v>11</v>
      </c>
      <c r="E43" s="6">
        <v>11</v>
      </c>
      <c r="F43" s="6">
        <v>11</v>
      </c>
      <c r="G43" t="s">
        <v>168</v>
      </c>
      <c r="H43" t="s">
        <v>59</v>
      </c>
    </row>
    <row r="44" spans="1:8" x14ac:dyDescent="0.25">
      <c r="A44" t="s">
        <v>169</v>
      </c>
      <c r="B44" t="s">
        <v>101</v>
      </c>
      <c r="C44" t="s">
        <v>102</v>
      </c>
      <c r="D44" s="6">
        <v>51</v>
      </c>
      <c r="E44" s="6">
        <v>53</v>
      </c>
      <c r="F44" s="6">
        <v>53</v>
      </c>
      <c r="G44" t="s">
        <v>168</v>
      </c>
      <c r="H44" t="s">
        <v>59</v>
      </c>
    </row>
    <row r="45" spans="1:8" x14ac:dyDescent="0.25">
      <c r="A45" t="s">
        <v>221</v>
      </c>
      <c r="B45" t="s">
        <v>14</v>
      </c>
      <c r="C45" t="s">
        <v>102</v>
      </c>
      <c r="D45" s="6">
        <v>36.36</v>
      </c>
      <c r="E45" s="6">
        <v>36.36</v>
      </c>
      <c r="F45" s="6">
        <v>36.36</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81.819999999999993</v>
      </c>
      <c r="E47" s="6">
        <v>81.819999999999993</v>
      </c>
      <c r="F47" s="6">
        <v>81.819999999999993</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1826268.4677419399</v>
      </c>
      <c r="E51" s="6">
        <v>186875</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9.0999999999999998E-2</v>
      </c>
      <c r="E54" s="6">
        <v>0</v>
      </c>
      <c r="F54" s="6">
        <v>0</v>
      </c>
      <c r="G54" t="s">
        <v>205</v>
      </c>
      <c r="H54" t="s">
        <v>59</v>
      </c>
    </row>
    <row r="55" spans="1:8" x14ac:dyDescent="0.25">
      <c r="A55" t="s">
        <v>206</v>
      </c>
      <c r="B55" t="s">
        <v>207</v>
      </c>
      <c r="C55" t="s">
        <v>176</v>
      </c>
      <c r="D55" s="6">
        <v>0.17499999999999999</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9.09</v>
      </c>
      <c r="E57" s="6">
        <v>0</v>
      </c>
      <c r="F57" s="6">
        <v>0</v>
      </c>
      <c r="G57" t="s">
        <v>59</v>
      </c>
      <c r="H57" t="s">
        <v>211</v>
      </c>
    </row>
    <row r="58" spans="1:8" x14ac:dyDescent="0.25">
      <c r="A58" t="s">
        <v>212</v>
      </c>
      <c r="B58" t="s">
        <v>14</v>
      </c>
      <c r="C58" t="s">
        <v>15</v>
      </c>
      <c r="D58" s="9">
        <v>2.98762270593256</v>
      </c>
      <c r="E58" s="9">
        <v>3.9878630255743399</v>
      </c>
      <c r="F58" s="9">
        <v>3.3413848631239902</v>
      </c>
      <c r="G58" t="s">
        <v>59</v>
      </c>
      <c r="H58" t="s">
        <v>213</v>
      </c>
    </row>
    <row r="59" spans="1:8" x14ac:dyDescent="0.25">
      <c r="A59" t="s">
        <v>214</v>
      </c>
      <c r="B59" t="s">
        <v>14</v>
      </c>
      <c r="C59" t="s">
        <v>15</v>
      </c>
      <c r="D59" s="5">
        <v>3.32906530089629</v>
      </c>
      <c r="E59" s="5">
        <v>3.0775899436497598</v>
      </c>
      <c r="F59" s="5">
        <v>4.7906602254428297</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[1]肾内科!$O$4</f>
        <v>慢性肾衰竭</v>
      </c>
      <c r="E72" s="10" t="str">
        <f>[1]肾内科!$I$4</f>
        <v>慢性肾衰竭</v>
      </c>
      <c r="F72" s="10" t="str">
        <f>[1]肾内科!$C$4</f>
        <v>慢性肾衰竭</v>
      </c>
      <c r="G72" t="s">
        <v>59</v>
      </c>
      <c r="H72" t="s">
        <v>59</v>
      </c>
    </row>
    <row r="73" spans="1:8" x14ac:dyDescent="0.25">
      <c r="A73" t="s">
        <v>241</v>
      </c>
      <c r="B73" t="s">
        <v>59</v>
      </c>
      <c r="C73" t="s">
        <v>90</v>
      </c>
      <c r="D73" s="10" t="str">
        <f>[1]肾内科!$N$4</f>
        <v>N18</v>
      </c>
      <c r="E73" s="10" t="str">
        <f>[1]肾内科!$H$4</f>
        <v>N18</v>
      </c>
      <c r="F73" s="10" t="str">
        <f>[1]肾内科!$B$4</f>
        <v>N18</v>
      </c>
      <c r="G73" t="s">
        <v>59</v>
      </c>
      <c r="H73" t="s">
        <v>59</v>
      </c>
    </row>
    <row r="74" spans="1:8" x14ac:dyDescent="0.25">
      <c r="A74" t="s">
        <v>242</v>
      </c>
      <c r="B74" t="s">
        <v>14</v>
      </c>
      <c r="C74" t="s">
        <v>90</v>
      </c>
      <c r="D74" s="10">
        <f>[1]肾内科!$Q$4</f>
        <v>61.801109688433598</v>
      </c>
      <c r="E74" s="10">
        <f>[1]肾内科!$K$4</f>
        <v>58.170784568704001</v>
      </c>
      <c r="F74" s="10">
        <f>[1]肾内科!$E$4</f>
        <v>55.032206119162602</v>
      </c>
      <c r="G74" t="s">
        <v>59</v>
      </c>
      <c r="H74" t="s">
        <v>59</v>
      </c>
    </row>
    <row r="75" spans="1:8" x14ac:dyDescent="0.25">
      <c r="A75" t="s">
        <v>243</v>
      </c>
      <c r="B75" t="s">
        <v>59</v>
      </c>
      <c r="C75" t="s">
        <v>90</v>
      </c>
      <c r="D75" s="10" t="str">
        <f>[1]肾内科!$O$5</f>
        <v>肾病综合征伴有多个并发症</v>
      </c>
      <c r="E75" s="10" t="str">
        <f>[1]肾内科!$I$5</f>
        <v>肾病综合征伴有多个并发症</v>
      </c>
      <c r="F75" s="10" t="str">
        <f>[1]肾内科!$C$5</f>
        <v>慢性肾炎综合征</v>
      </c>
      <c r="G75" t="s">
        <v>59</v>
      </c>
      <c r="H75" t="s">
        <v>59</v>
      </c>
    </row>
    <row r="76" spans="1:8" x14ac:dyDescent="0.25">
      <c r="A76" t="s">
        <v>244</v>
      </c>
      <c r="B76" t="s">
        <v>59</v>
      </c>
      <c r="C76" t="s">
        <v>90</v>
      </c>
      <c r="D76" s="10" t="str">
        <f>[1]肾内科!$N$5</f>
        <v>N04</v>
      </c>
      <c r="E76" s="10" t="str">
        <f>[1]肾内科!$H$5</f>
        <v>N04</v>
      </c>
      <c r="F76" s="10" t="str">
        <f>[1]肾内科!$B$5</f>
        <v>N03.9</v>
      </c>
      <c r="G76" t="s">
        <v>59</v>
      </c>
      <c r="H76" t="s">
        <v>59</v>
      </c>
    </row>
    <row r="77" spans="1:8" x14ac:dyDescent="0.25">
      <c r="A77" t="s">
        <v>245</v>
      </c>
      <c r="B77" t="s">
        <v>14</v>
      </c>
      <c r="C77" t="s">
        <v>90</v>
      </c>
      <c r="D77" s="10">
        <f>[1]肾内科!$Q$5</f>
        <v>5.42040119504908</v>
      </c>
      <c r="E77" s="10">
        <f>[1]肾内科!$K$5</f>
        <v>8.1924577373212006</v>
      </c>
      <c r="F77" s="10">
        <f>[1]肾内科!$E$5</f>
        <v>8.85668276972625</v>
      </c>
      <c r="G77" t="s">
        <v>59</v>
      </c>
      <c r="H77" t="s">
        <v>59</v>
      </c>
    </row>
    <row r="78" spans="1:8" x14ac:dyDescent="0.25">
      <c r="A78" t="s">
        <v>246</v>
      </c>
      <c r="B78" t="s">
        <v>59</v>
      </c>
      <c r="C78" t="s">
        <v>90</v>
      </c>
      <c r="D78" s="10" t="str">
        <f>[1]肾内科!$O$6</f>
        <v>慢性肾炎综合征</v>
      </c>
      <c r="E78" s="10" t="str">
        <f>[1]肾内科!$I$6</f>
        <v>慢性肾炎综合征</v>
      </c>
      <c r="F78" s="10" t="str">
        <f>[1]肾内科!$C$6</f>
        <v>2型糖尿病伴有多个并发症</v>
      </c>
      <c r="G78" t="s">
        <v>59</v>
      </c>
      <c r="H78" t="s">
        <v>59</v>
      </c>
    </row>
    <row r="79" spans="1:8" x14ac:dyDescent="0.25">
      <c r="A79" t="s">
        <v>247</v>
      </c>
      <c r="B79" t="s">
        <v>59</v>
      </c>
      <c r="C79" t="s">
        <v>90</v>
      </c>
      <c r="D79" s="10" t="str">
        <f>[1]肾内科!$N$6</f>
        <v>N03.9</v>
      </c>
      <c r="E79" s="10" t="str">
        <f>[1]肾内科!$H$6</f>
        <v>N03.9</v>
      </c>
      <c r="F79" s="10" t="str">
        <f>[1]肾内科!$B$6</f>
        <v>E11</v>
      </c>
      <c r="G79" t="s">
        <v>59</v>
      </c>
      <c r="H79" t="s">
        <v>59</v>
      </c>
    </row>
    <row r="80" spans="1:8" x14ac:dyDescent="0.25">
      <c r="A80" t="s">
        <v>248</v>
      </c>
      <c r="B80" t="s">
        <v>14</v>
      </c>
      <c r="C80" t="s">
        <v>90</v>
      </c>
      <c r="D80" s="10">
        <f>[1]肾内科!$Q$6</f>
        <v>4.1399914639351296</v>
      </c>
      <c r="E80" s="10">
        <f>[1]肾内科!$K$6</f>
        <v>5.8951018638925001</v>
      </c>
      <c r="F80" s="10">
        <f>[1]肾内科!$E$6</f>
        <v>7.1658615136875996</v>
      </c>
      <c r="G80" t="s">
        <v>59</v>
      </c>
      <c r="H80" t="s">
        <v>59</v>
      </c>
    </row>
    <row r="81" spans="1:8" x14ac:dyDescent="0.25">
      <c r="A81" t="s">
        <v>249</v>
      </c>
      <c r="B81" t="s">
        <v>59</v>
      </c>
      <c r="C81" t="s">
        <v>90</v>
      </c>
      <c r="D81" s="10" t="str">
        <f>[1]肾内科!$O$7</f>
        <v>复发性和持续性血尿</v>
      </c>
      <c r="E81" s="10" t="str">
        <f>[1]肾内科!$I$7</f>
        <v>复发性和持续性血尿</v>
      </c>
      <c r="F81" s="10" t="str">
        <f>[1]肾内科!$C$7</f>
        <v>肾病综合征伴有多个并发症</v>
      </c>
      <c r="G81" t="s">
        <v>59</v>
      </c>
      <c r="H81" t="s">
        <v>59</v>
      </c>
    </row>
    <row r="82" spans="1:8" x14ac:dyDescent="0.25">
      <c r="A82" t="s">
        <v>250</v>
      </c>
      <c r="B82" t="s">
        <v>59</v>
      </c>
      <c r="C82" t="s">
        <v>90</v>
      </c>
      <c r="D82" s="10" t="str">
        <f>[1]肾内科!$N$7</f>
        <v>N02</v>
      </c>
      <c r="E82" s="10" t="str">
        <f>[1]肾内科!$H$7</f>
        <v>N02</v>
      </c>
      <c r="F82" s="10" t="str">
        <f>[1]肾内科!$B$7</f>
        <v>N04</v>
      </c>
      <c r="G82" t="s">
        <v>59</v>
      </c>
      <c r="H82" t="s">
        <v>59</v>
      </c>
    </row>
    <row r="83" spans="1:8" x14ac:dyDescent="0.25">
      <c r="A83" t="s">
        <v>251</v>
      </c>
      <c r="B83" t="s">
        <v>14</v>
      </c>
      <c r="C83" t="s">
        <v>90</v>
      </c>
      <c r="D83" s="10">
        <f>[1]肾内科!$Q$7</f>
        <v>3.1156636790439598</v>
      </c>
      <c r="E83" s="10">
        <f>[1]肾内科!$K$7</f>
        <v>4.2912873862158696</v>
      </c>
      <c r="F83" s="10">
        <f>[1]肾内科!$E$7</f>
        <v>6.1191626409017701</v>
      </c>
      <c r="G83" t="s">
        <v>59</v>
      </c>
      <c r="H83" t="s">
        <v>59</v>
      </c>
    </row>
    <row r="84" spans="1:8" x14ac:dyDescent="0.25">
      <c r="A84" t="s">
        <v>252</v>
      </c>
      <c r="B84" t="s">
        <v>59</v>
      </c>
      <c r="C84" t="s">
        <v>90</v>
      </c>
      <c r="D84" s="10" t="str">
        <f>[1]肾内科!$O$8</f>
        <v>急性肾衰竭</v>
      </c>
      <c r="E84" s="10" t="str">
        <f>[1]肾内科!$I$8</f>
        <v>急性肾衰竭</v>
      </c>
      <c r="F84" s="10" t="str">
        <f>[1]肾内科!$C$8</f>
        <v>系统性红斑狼疮</v>
      </c>
      <c r="G84" t="s">
        <v>59</v>
      </c>
      <c r="H84" t="s">
        <v>59</v>
      </c>
    </row>
    <row r="85" spans="1:8" x14ac:dyDescent="0.25">
      <c r="A85" t="s">
        <v>253</v>
      </c>
      <c r="B85" t="s">
        <v>59</v>
      </c>
      <c r="C85" t="s">
        <v>90</v>
      </c>
      <c r="D85" s="10" t="str">
        <f>[1]肾内科!$N$8</f>
        <v>N17</v>
      </c>
      <c r="E85" s="10" t="str">
        <f>[1]肾内科!$H$8</f>
        <v>N17</v>
      </c>
      <c r="F85" s="10" t="str">
        <f>[1]肾内科!$B$8</f>
        <v>M32</v>
      </c>
      <c r="G85" t="s">
        <v>59</v>
      </c>
      <c r="H85" t="s">
        <v>59</v>
      </c>
    </row>
    <row r="86" spans="1:8" x14ac:dyDescent="0.25">
      <c r="A86" t="s">
        <v>254</v>
      </c>
      <c r="B86" t="s">
        <v>14</v>
      </c>
      <c r="C86" t="s">
        <v>90</v>
      </c>
      <c r="D86" s="10">
        <f>[1]肾内科!$Q$8</f>
        <v>2.2193768672641898</v>
      </c>
      <c r="E86" s="10">
        <f>[1]肾内科!$K$8</f>
        <v>3.6844386649328098</v>
      </c>
      <c r="F86" s="10">
        <f>[1]肾内科!$E$8</f>
        <v>3.4621578099838999</v>
      </c>
      <c r="G86" t="s">
        <v>59</v>
      </c>
      <c r="H86" t="s">
        <v>59</v>
      </c>
    </row>
    <row r="87" spans="1:8" x14ac:dyDescent="0.25">
      <c r="A87" t="s">
        <v>255</v>
      </c>
      <c r="B87" t="s">
        <v>59</v>
      </c>
      <c r="C87" t="s">
        <v>90</v>
      </c>
      <c r="D87" s="22" t="str">
        <f>[2]肾内科!$O$4</f>
        <v>手术名称</v>
      </c>
      <c r="E87" s="22" t="str">
        <f>[2]肾内科!$I$4</f>
        <v>手术名称</v>
      </c>
      <c r="F87" s="22" t="str">
        <f>[2]肾内科!$C$4</f>
        <v>手术名称</v>
      </c>
      <c r="G87" t="s">
        <v>59</v>
      </c>
      <c r="H87" t="s">
        <v>59</v>
      </c>
    </row>
    <row r="88" spans="1:8" x14ac:dyDescent="0.25">
      <c r="A88" t="s">
        <v>256</v>
      </c>
      <c r="B88" t="s">
        <v>59</v>
      </c>
      <c r="C88" t="s">
        <v>90</v>
      </c>
      <c r="D88" s="23" t="str">
        <f>[2]肾内科!$N$4</f>
        <v>手术码</v>
      </c>
      <c r="E88" s="23" t="str">
        <f>[2]肾内科!$H$4</f>
        <v>手术码</v>
      </c>
      <c r="F88" s="23" t="str">
        <f>[2]肾内科!$B$4</f>
        <v>手术码</v>
      </c>
      <c r="G88" t="s">
        <v>59</v>
      </c>
      <c r="H88" t="s">
        <v>59</v>
      </c>
    </row>
    <row r="89" spans="1:8" x14ac:dyDescent="0.25">
      <c r="A89" t="s">
        <v>257</v>
      </c>
      <c r="B89" t="s">
        <v>14</v>
      </c>
      <c r="C89" t="s">
        <v>90</v>
      </c>
      <c r="D89" s="24" t="str">
        <f>[2]肾内科!$Q$4</f>
        <v>占手术比</v>
      </c>
      <c r="E89" s="24" t="str">
        <f>[2]肾内科!$K$4</f>
        <v>占手术比</v>
      </c>
      <c r="F89" s="24" t="str">
        <f>[2]肾内科!$E$4</f>
        <v>占手术比</v>
      </c>
      <c r="G89" t="s">
        <v>59</v>
      </c>
      <c r="H89" t="s">
        <v>59</v>
      </c>
    </row>
    <row r="90" spans="1:8" x14ac:dyDescent="0.25">
      <c r="A90" t="s">
        <v>258</v>
      </c>
      <c r="B90" t="s">
        <v>59</v>
      </c>
      <c r="C90" t="s">
        <v>90</v>
      </c>
      <c r="D90" s="25" t="str">
        <f>[2]肾内科!$O$5</f>
        <v>为肾透析的动静脉造瘘术</v>
      </c>
      <c r="E90" s="25" t="str">
        <f>[2]肾内科!$I$5</f>
        <v>上肢动静脉造瘘术，为肾透析</v>
      </c>
      <c r="F90" s="25" t="str">
        <f>[2]肾内科!$C$5</f>
        <v>上肢动静脉造瘘术，为肾透析</v>
      </c>
      <c r="G90" t="s">
        <v>59</v>
      </c>
      <c r="H90" t="s">
        <v>59</v>
      </c>
    </row>
    <row r="91" spans="1:8" x14ac:dyDescent="0.25">
      <c r="A91" t="s">
        <v>259</v>
      </c>
      <c r="B91" t="s">
        <v>59</v>
      </c>
      <c r="C91" t="s">
        <v>90</v>
      </c>
      <c r="D91" s="26">
        <f>[2]肾内科!$N$5</f>
        <v>39.270000000000003</v>
      </c>
      <c r="E91" s="26">
        <f>[2]肾内科!$H$5</f>
        <v>39.270000000000003</v>
      </c>
      <c r="F91" s="26" t="str">
        <f>[2]肾内科!$B$5</f>
        <v>39.27</v>
      </c>
      <c r="G91" t="s">
        <v>59</v>
      </c>
      <c r="H91" t="s">
        <v>59</v>
      </c>
    </row>
    <row r="92" spans="1:8" x14ac:dyDescent="0.25">
      <c r="A92" t="s">
        <v>260</v>
      </c>
      <c r="B92" t="s">
        <v>14</v>
      </c>
      <c r="C92" t="s">
        <v>90</v>
      </c>
      <c r="D92" s="24">
        <f>[2]肾内科!$Q$5</f>
        <v>94.720965309200594</v>
      </c>
      <c r="E92" s="24">
        <f>[2]肾内科!$K$5</f>
        <v>95.847176079734197</v>
      </c>
      <c r="F92" s="24">
        <f>[2]肾内科!$E$5</f>
        <v>92.819614711033296</v>
      </c>
      <c r="G92" t="s">
        <v>59</v>
      </c>
      <c r="H92" t="s">
        <v>59</v>
      </c>
    </row>
    <row r="93" spans="1:8" x14ac:dyDescent="0.25">
      <c r="A93" t="s">
        <v>261</v>
      </c>
      <c r="B93" t="s">
        <v>59</v>
      </c>
      <c r="C93" t="s">
        <v>90</v>
      </c>
      <c r="D93" s="27" t="str">
        <f>[2]肾内科!$O$6</f>
        <v>腹膜透析腹腔镜法置管术</v>
      </c>
      <c r="E93" s="27" t="str">
        <f>[2]肾内科!$I$6</f>
        <v>上肢静脉血管腔内成形术</v>
      </c>
      <c r="F93" s="27" t="str">
        <f>[2]肾内科!$C$6</f>
        <v>去除动静脉分流，为肾透析</v>
      </c>
      <c r="G93" t="s">
        <v>59</v>
      </c>
      <c r="H93" t="s">
        <v>59</v>
      </c>
    </row>
    <row r="94" spans="1:8" x14ac:dyDescent="0.25">
      <c r="A94" t="s">
        <v>262</v>
      </c>
      <c r="B94" t="s">
        <v>59</v>
      </c>
      <c r="C94" t="s">
        <v>90</v>
      </c>
      <c r="D94" s="28">
        <f>[2]肾内科!$N$6</f>
        <v>54.93</v>
      </c>
      <c r="E94" s="28" t="str">
        <f>[2]肾内科!$H$6</f>
        <v>39.50</v>
      </c>
      <c r="F94" s="28" t="str">
        <f>[2]肾内科!$B$6</f>
        <v>39.43</v>
      </c>
      <c r="G94" t="s">
        <v>59</v>
      </c>
      <c r="H94" t="s">
        <v>59</v>
      </c>
    </row>
    <row r="95" spans="1:8" x14ac:dyDescent="0.25">
      <c r="A95" t="s">
        <v>263</v>
      </c>
      <c r="B95" t="s">
        <v>14</v>
      </c>
      <c r="C95" t="s">
        <v>90</v>
      </c>
      <c r="D95" s="24">
        <f>[2]肾内科!$Q$6</f>
        <v>0.75414781297134204</v>
      </c>
      <c r="E95" s="24">
        <f>[2]肾内科!$K$6</f>
        <v>1.16279069767442</v>
      </c>
      <c r="F95" s="24">
        <f>[2]肾内科!$E$6</f>
        <v>0.87565674255691806</v>
      </c>
      <c r="G95" t="s">
        <v>59</v>
      </c>
      <c r="H95" t="s">
        <v>59</v>
      </c>
    </row>
    <row r="96" spans="1:8" x14ac:dyDescent="0.25">
      <c r="A96" t="s">
        <v>264</v>
      </c>
      <c r="B96" t="s">
        <v>59</v>
      </c>
      <c r="C96" t="s">
        <v>90</v>
      </c>
      <c r="D96" s="24" t="str">
        <f>[2]肾内科!$O$7</f>
        <v>肱动脉-头静脉搭桥术</v>
      </c>
      <c r="E96" s="24" t="str">
        <f>[2]肾内科!$I$7</f>
        <v>上肢动脉瘤切除术，不伴吻合和置换</v>
      </c>
      <c r="F96" s="24" t="str">
        <f>[2]肾内科!$C$7</f>
        <v>血液透析管调整术</v>
      </c>
      <c r="G96" t="s">
        <v>59</v>
      </c>
      <c r="H96" t="s">
        <v>59</v>
      </c>
    </row>
    <row r="97" spans="1:8" x14ac:dyDescent="0.25">
      <c r="A97" t="s">
        <v>265</v>
      </c>
      <c r="B97" t="s">
        <v>59</v>
      </c>
      <c r="C97" t="s">
        <v>90</v>
      </c>
      <c r="D97" s="25">
        <f>[2]肾内科!$N$7</f>
        <v>39.29</v>
      </c>
      <c r="E97" s="25">
        <f>[2]肾内科!$H$7</f>
        <v>38.630000000000003</v>
      </c>
      <c r="F97" s="25" t="str">
        <f>[2]肾内科!$B$7</f>
        <v>39.49</v>
      </c>
      <c r="G97" t="s">
        <v>59</v>
      </c>
      <c r="H97" t="s">
        <v>59</v>
      </c>
    </row>
    <row r="98" spans="1:8" x14ac:dyDescent="0.25">
      <c r="A98" t="s">
        <v>266</v>
      </c>
      <c r="B98" t="s">
        <v>14</v>
      </c>
      <c r="C98" t="s">
        <v>90</v>
      </c>
      <c r="D98" s="26">
        <f>[2]肾内科!$Q$7</f>
        <v>0.60331825037707398</v>
      </c>
      <c r="E98" s="26">
        <f>[2]肾内科!$K$7</f>
        <v>0.66445182724252505</v>
      </c>
      <c r="F98" s="26">
        <f>[2]肾内科!$E$7</f>
        <v>0.87565674255691806</v>
      </c>
      <c r="G98" t="s">
        <v>59</v>
      </c>
      <c r="H98" t="s">
        <v>59</v>
      </c>
    </row>
    <row r="99" spans="1:8" x14ac:dyDescent="0.25">
      <c r="A99" t="s">
        <v>267</v>
      </c>
      <c r="B99" t="s">
        <v>59</v>
      </c>
      <c r="C99" t="s">
        <v>90</v>
      </c>
      <c r="D99" s="24" t="str">
        <f>[2]肾内科!$O$8</f>
        <v>药物洗脱冠状动脉支架置入</v>
      </c>
      <c r="E99" s="24" t="str">
        <f>[2]肾内科!$I$8</f>
        <v>皮肤和皮下组织血肿清除术</v>
      </c>
      <c r="F99" s="24" t="str">
        <f>[2]肾内科!$C$8</f>
        <v>动静脉分流(瘘)修复术，用于肾透析</v>
      </c>
      <c r="G99" t="s">
        <v>59</v>
      </c>
      <c r="H99" t="s">
        <v>59</v>
      </c>
    </row>
    <row r="100" spans="1:8" x14ac:dyDescent="0.25">
      <c r="A100" t="s">
        <v>268</v>
      </c>
      <c r="B100" t="s">
        <v>59</v>
      </c>
      <c r="C100" t="s">
        <v>90</v>
      </c>
      <c r="D100" s="10">
        <f>[2]肾内科!$N$8</f>
        <v>36.07</v>
      </c>
      <c r="E100" s="10">
        <f>[2]肾内科!$H$8</f>
        <v>86.04</v>
      </c>
      <c r="F100" s="10" t="str">
        <f>[2]肾内科!$B$8</f>
        <v>39.42</v>
      </c>
      <c r="G100" t="s">
        <v>59</v>
      </c>
      <c r="H100" t="s">
        <v>59</v>
      </c>
    </row>
    <row r="101" spans="1:8" x14ac:dyDescent="0.25">
      <c r="A101" t="s">
        <v>269</v>
      </c>
      <c r="B101" t="s">
        <v>14</v>
      </c>
      <c r="C101" t="s">
        <v>90</v>
      </c>
      <c r="D101" s="10">
        <f>[2]肾内科!$Q$8</f>
        <v>0.30165912518853699</v>
      </c>
      <c r="E101" s="10">
        <f>[2]肾内科!$K$8</f>
        <v>0.49833887043189401</v>
      </c>
      <c r="F101" s="10">
        <f>[2]肾内科!$E$8</f>
        <v>0.52539404553415103</v>
      </c>
      <c r="G101" t="s">
        <v>59</v>
      </c>
      <c r="H101" t="s">
        <v>59</v>
      </c>
    </row>
  </sheetData>
  <phoneticPr fontId="10" type="noConversion"/>
  <conditionalFormatting sqref="D88">
    <cfRule type="duplicateValues" dxfId="107" priority="12"/>
  </conditionalFormatting>
  <conditionalFormatting sqref="E88">
    <cfRule type="duplicateValues" dxfId="106" priority="4"/>
  </conditionalFormatting>
  <conditionalFormatting sqref="F88">
    <cfRule type="duplicateValues" dxfId="105" priority="8"/>
  </conditionalFormatting>
  <conditionalFormatting sqref="D91">
    <cfRule type="duplicateValues" dxfId="104" priority="11"/>
  </conditionalFormatting>
  <conditionalFormatting sqref="E91">
    <cfRule type="duplicateValues" dxfId="103" priority="3"/>
  </conditionalFormatting>
  <conditionalFormatting sqref="F91">
    <cfRule type="duplicateValues" dxfId="102" priority="7"/>
  </conditionalFormatting>
  <conditionalFormatting sqref="D94">
    <cfRule type="duplicateValues" dxfId="101" priority="9"/>
  </conditionalFormatting>
  <conditionalFormatting sqref="E94">
    <cfRule type="duplicateValues" dxfId="100" priority="1"/>
  </conditionalFormatting>
  <conditionalFormatting sqref="F94">
    <cfRule type="duplicateValues" dxfId="99" priority="5"/>
  </conditionalFormatting>
  <conditionalFormatting sqref="D98">
    <cfRule type="duplicateValues" dxfId="98" priority="10"/>
  </conditionalFormatting>
  <conditionalFormatting sqref="E98">
    <cfRule type="duplicateValues" dxfId="97" priority="2"/>
  </conditionalFormatting>
  <conditionalFormatting sqref="F98">
    <cfRule type="duplicateValues" dxfId="96" priority="6"/>
  </conditionalFormatting>
  <pageMargins left="0.69930555555555596" right="0.69930555555555596" top="0.75" bottom="0.75" header="0.3" footer="0.3"/>
  <ignoredErrors>
    <ignoredError sqref="A2:B31 G2:H31 G34:H101 A34:B101 A1:H1" numberStoredAsText="1"/>
  </ignoredError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21.8888888888889</v>
      </c>
      <c r="E2" s="5">
        <v>23.170731707317099</v>
      </c>
      <c r="F2" s="5">
        <v>22.496909765142199</v>
      </c>
      <c r="G2" t="s">
        <v>16</v>
      </c>
      <c r="H2" t="s">
        <v>17</v>
      </c>
    </row>
    <row r="3" spans="1:8" x14ac:dyDescent="0.25">
      <c r="A3" t="s">
        <v>18</v>
      </c>
      <c r="B3" t="s">
        <v>14</v>
      </c>
      <c r="C3" t="s">
        <v>15</v>
      </c>
      <c r="D3" s="5">
        <v>12.1827411167513</v>
      </c>
      <c r="E3" s="5">
        <v>12.105263157894701</v>
      </c>
      <c r="F3" s="5">
        <v>10.439560439560401</v>
      </c>
      <c r="G3" t="s">
        <v>19</v>
      </c>
      <c r="H3" t="s">
        <v>20</v>
      </c>
    </row>
    <row r="4" spans="1:8" x14ac:dyDescent="0.25">
      <c r="A4" t="s">
        <v>21</v>
      </c>
      <c r="B4" t="s">
        <v>14</v>
      </c>
      <c r="C4" t="s">
        <v>15</v>
      </c>
      <c r="D4" s="5">
        <v>39.5939086294416</v>
      </c>
      <c r="E4" s="5">
        <v>42.631578947368403</v>
      </c>
      <c r="F4" s="5">
        <v>49.450549450549502</v>
      </c>
      <c r="G4" t="s">
        <v>22</v>
      </c>
      <c r="H4" t="s">
        <v>23</v>
      </c>
    </row>
    <row r="5" spans="1:8" x14ac:dyDescent="0.25">
      <c r="A5" t="s">
        <v>24</v>
      </c>
      <c r="B5" t="s">
        <v>14</v>
      </c>
      <c r="C5" t="s">
        <v>15</v>
      </c>
      <c r="D5" s="6">
        <v>100</v>
      </c>
      <c r="E5" s="6">
        <v>100</v>
      </c>
      <c r="F5" s="6">
        <v>99.88</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0.08</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4.63</v>
      </c>
      <c r="E10" s="6">
        <v>4.78</v>
      </c>
      <c r="F10" s="6">
        <v>6.55</v>
      </c>
      <c r="G10" t="s">
        <v>58</v>
      </c>
      <c r="H10" t="s">
        <v>59</v>
      </c>
    </row>
    <row r="11" spans="1:8" x14ac:dyDescent="0.25">
      <c r="A11" t="s">
        <v>63</v>
      </c>
      <c r="B11" t="s">
        <v>64</v>
      </c>
      <c r="C11" t="s">
        <v>61</v>
      </c>
      <c r="D11" s="33">
        <v>145.87800126315901</v>
      </c>
      <c r="E11" s="33">
        <v>140.53387758388899</v>
      </c>
      <c r="F11" s="33">
        <v>145.78400966408299</v>
      </c>
      <c r="G11" t="s">
        <v>35</v>
      </c>
      <c r="H11" t="s">
        <v>65</v>
      </c>
    </row>
    <row r="12" spans="1:8" x14ac:dyDescent="0.25">
      <c r="A12" t="s">
        <v>66</v>
      </c>
      <c r="B12" t="s">
        <v>14</v>
      </c>
      <c r="C12" t="s">
        <v>61</v>
      </c>
      <c r="D12" s="6">
        <v>0</v>
      </c>
      <c r="E12" s="6">
        <v>0</v>
      </c>
      <c r="F12" s="6">
        <v>0</v>
      </c>
      <c r="G12" t="s">
        <v>39</v>
      </c>
      <c r="H12" t="s">
        <v>67</v>
      </c>
    </row>
    <row r="13" spans="1:8" x14ac:dyDescent="0.25">
      <c r="A13" t="s">
        <v>68</v>
      </c>
      <c r="B13" t="s">
        <v>14</v>
      </c>
      <c r="C13" t="s">
        <v>61</v>
      </c>
      <c r="D13" s="6">
        <v>99.89</v>
      </c>
      <c r="E13" s="6">
        <v>99.88</v>
      </c>
      <c r="F13" s="6">
        <v>97.88</v>
      </c>
      <c r="G13" t="s">
        <v>39</v>
      </c>
      <c r="H13" t="s">
        <v>69</v>
      </c>
    </row>
    <row r="14" spans="1:8" x14ac:dyDescent="0.25">
      <c r="A14" t="s">
        <v>74</v>
      </c>
      <c r="B14" t="s">
        <v>14</v>
      </c>
      <c r="C14" t="s">
        <v>75</v>
      </c>
      <c r="D14" s="5">
        <f>(4000+4590)/96322118*100</f>
        <v>8.9179932692094663E-3</v>
      </c>
      <c r="E14" s="5">
        <f>328683/90917377*100</f>
        <v>0.36151834868707222</v>
      </c>
      <c r="F14" s="5">
        <f>139972.5/92299274*100</f>
        <v>0.15165070529157143</v>
      </c>
      <c r="G14" t="s">
        <v>35</v>
      </c>
      <c r="H14" t="s">
        <v>76</v>
      </c>
    </row>
    <row r="15" spans="1:8" x14ac:dyDescent="0.25">
      <c r="A15" t="s">
        <v>91</v>
      </c>
      <c r="B15" t="s">
        <v>92</v>
      </c>
      <c r="C15" t="s">
        <v>15</v>
      </c>
      <c r="D15" s="6">
        <v>13.24</v>
      </c>
      <c r="E15" s="6">
        <v>14.22</v>
      </c>
      <c r="F15" s="6">
        <v>15.81</v>
      </c>
      <c r="G15" t="s">
        <v>93</v>
      </c>
      <c r="H15" t="s">
        <v>94</v>
      </c>
    </row>
    <row r="16" spans="1:8" x14ac:dyDescent="0.25">
      <c r="A16" t="s">
        <v>95</v>
      </c>
      <c r="B16" t="s">
        <v>59</v>
      </c>
      <c r="C16" t="s">
        <v>34</v>
      </c>
      <c r="D16" s="6">
        <v>5.69</v>
      </c>
      <c r="E16" s="6">
        <v>5.44</v>
      </c>
      <c r="F16" s="6">
        <v>4.38</v>
      </c>
      <c r="G16" t="s">
        <v>96</v>
      </c>
      <c r="H16" t="s">
        <v>59</v>
      </c>
    </row>
    <row r="17" spans="1:8" x14ac:dyDescent="0.25">
      <c r="A17" t="s">
        <v>97</v>
      </c>
      <c r="B17" t="s">
        <v>98</v>
      </c>
      <c r="C17" t="s">
        <v>34</v>
      </c>
      <c r="D17" s="6">
        <v>94</v>
      </c>
      <c r="E17" s="6">
        <v>88</v>
      </c>
      <c r="F17" s="6">
        <v>115</v>
      </c>
      <c r="G17" t="s">
        <v>99</v>
      </c>
      <c r="H17" t="s">
        <v>59</v>
      </c>
    </row>
    <row r="18" spans="1:8" x14ac:dyDescent="0.25">
      <c r="A18" t="s">
        <v>104</v>
      </c>
      <c r="B18" t="s">
        <v>105</v>
      </c>
      <c r="C18" t="s">
        <v>15</v>
      </c>
      <c r="D18" s="6">
        <v>45</v>
      </c>
      <c r="E18" s="6">
        <v>45</v>
      </c>
      <c r="F18" s="6">
        <v>45</v>
      </c>
      <c r="G18" t="s">
        <v>58</v>
      </c>
      <c r="H18" t="s">
        <v>59</v>
      </c>
    </row>
    <row r="19" spans="1:8" x14ac:dyDescent="0.25">
      <c r="A19" t="s">
        <v>106</v>
      </c>
      <c r="B19" t="s">
        <v>105</v>
      </c>
      <c r="C19" t="s">
        <v>15</v>
      </c>
      <c r="D19" s="6">
        <v>51</v>
      </c>
      <c r="E19" s="6">
        <v>45</v>
      </c>
      <c r="F19" s="6">
        <v>56</v>
      </c>
      <c r="G19" t="s">
        <v>58</v>
      </c>
      <c r="H19" t="s">
        <v>59</v>
      </c>
    </row>
    <row r="20" spans="1:8" x14ac:dyDescent="0.25">
      <c r="A20" t="s">
        <v>107</v>
      </c>
      <c r="B20" t="s">
        <v>14</v>
      </c>
      <c r="C20" t="s">
        <v>15</v>
      </c>
      <c r="D20" s="6">
        <v>97.86</v>
      </c>
      <c r="E20" s="6">
        <v>86.72</v>
      </c>
      <c r="F20" s="6">
        <v>79.67</v>
      </c>
      <c r="G20" t="s">
        <v>58</v>
      </c>
      <c r="H20" t="s">
        <v>108</v>
      </c>
    </row>
    <row r="21" spans="1:8" x14ac:dyDescent="0.25">
      <c r="A21" t="s">
        <v>112</v>
      </c>
      <c r="B21" t="s">
        <v>59</v>
      </c>
      <c r="C21" t="s">
        <v>102</v>
      </c>
      <c r="D21" s="5">
        <f t="shared" ref="D21:F21" si="0">D43/D19</f>
        <v>0.56862745098039214</v>
      </c>
      <c r="E21" s="5">
        <f t="shared" si="0"/>
        <v>0.64444444444444449</v>
      </c>
      <c r="F21" s="5">
        <f t="shared" si="0"/>
        <v>0.48214285714285715</v>
      </c>
      <c r="G21" t="s">
        <v>110</v>
      </c>
      <c r="H21" t="s">
        <v>113</v>
      </c>
    </row>
    <row r="22" spans="1:8" x14ac:dyDescent="0.25">
      <c r="A22" t="s">
        <v>114</v>
      </c>
      <c r="B22" t="s">
        <v>59</v>
      </c>
      <c r="C22" t="s">
        <v>102</v>
      </c>
      <c r="D22" s="5">
        <f t="shared" ref="D22:F22" si="1">D44/D19</f>
        <v>2.2745098039215685</v>
      </c>
      <c r="E22" s="5">
        <f t="shared" si="1"/>
        <v>2.6222222222222222</v>
      </c>
      <c r="F22" s="5">
        <f t="shared" si="1"/>
        <v>2.1428571428571428</v>
      </c>
      <c r="G22" t="s">
        <v>110</v>
      </c>
      <c r="H22" t="s">
        <v>115</v>
      </c>
    </row>
    <row r="23" spans="1:8" x14ac:dyDescent="0.25">
      <c r="A23" t="s">
        <v>116</v>
      </c>
      <c r="B23" t="s">
        <v>117</v>
      </c>
      <c r="C23" t="s">
        <v>118</v>
      </c>
      <c r="D23" s="5">
        <v>26.121297228915701</v>
      </c>
      <c r="E23" s="5">
        <v>24.217106040462401</v>
      </c>
      <c r="F23" s="5">
        <v>24.675530688235298</v>
      </c>
      <c r="G23" t="s">
        <v>119</v>
      </c>
      <c r="H23" t="s">
        <v>59</v>
      </c>
    </row>
    <row r="24" spans="1:8" x14ac:dyDescent="0.25">
      <c r="A24" t="s">
        <v>120</v>
      </c>
      <c r="B24" t="s">
        <v>117</v>
      </c>
      <c r="C24" t="s">
        <v>118</v>
      </c>
      <c r="D24" s="5">
        <v>38.052992680722902</v>
      </c>
      <c r="E24" s="5">
        <v>36.1758203583815</v>
      </c>
      <c r="F24" s="5">
        <v>35.5982142411765</v>
      </c>
      <c r="G24" t="s">
        <v>121</v>
      </c>
      <c r="H24" t="s">
        <v>59</v>
      </c>
    </row>
    <row r="25" spans="1:8" x14ac:dyDescent="0.25">
      <c r="A25" t="s">
        <v>122</v>
      </c>
      <c r="B25" t="s">
        <v>117</v>
      </c>
      <c r="C25" t="s">
        <v>118</v>
      </c>
      <c r="D25" s="5">
        <v>88.438411992657606</v>
      </c>
      <c r="E25" s="5">
        <v>81.508936673151794</v>
      </c>
      <c r="F25" s="5">
        <v>74.907861017857101</v>
      </c>
      <c r="G25" t="s">
        <v>123</v>
      </c>
      <c r="H25" t="s">
        <v>59</v>
      </c>
    </row>
    <row r="26" spans="1:8" x14ac:dyDescent="0.25">
      <c r="A26" t="s">
        <v>124</v>
      </c>
      <c r="B26" t="s">
        <v>117</v>
      </c>
      <c r="C26" t="s">
        <v>118</v>
      </c>
      <c r="D26" s="5">
        <v>128.83534132163999</v>
      </c>
      <c r="E26" s="5">
        <v>121.75908408560301</v>
      </c>
      <c r="F26" s="5">
        <v>108.066007517857</v>
      </c>
      <c r="G26" t="s">
        <v>125</v>
      </c>
      <c r="H26" t="s">
        <v>59</v>
      </c>
    </row>
    <row r="27" spans="1:8" x14ac:dyDescent="0.25">
      <c r="A27" t="s">
        <v>126</v>
      </c>
      <c r="B27" t="s">
        <v>127</v>
      </c>
      <c r="C27" t="s">
        <v>118</v>
      </c>
      <c r="D27" s="5">
        <v>1.65441662730279</v>
      </c>
      <c r="E27" s="5">
        <v>1.54123760037789</v>
      </c>
      <c r="F27" s="5">
        <v>1.65246067985794</v>
      </c>
      <c r="G27" t="s">
        <v>39</v>
      </c>
      <c r="H27" t="s">
        <v>128</v>
      </c>
    </row>
    <row r="28" spans="1:8" x14ac:dyDescent="0.25">
      <c r="A28" t="s">
        <v>129</v>
      </c>
      <c r="B28" t="s">
        <v>14</v>
      </c>
      <c r="C28" t="s">
        <v>118</v>
      </c>
      <c r="D28" s="5">
        <v>41.328057182829198</v>
      </c>
      <c r="E28" s="5">
        <v>41.9903706041327</v>
      </c>
      <c r="F28" s="5">
        <v>42.715418345972303</v>
      </c>
      <c r="G28" t="s">
        <v>130</v>
      </c>
      <c r="H28" t="s">
        <v>131</v>
      </c>
    </row>
    <row r="29" spans="1:8" x14ac:dyDescent="0.25">
      <c r="A29" t="s">
        <v>132</v>
      </c>
      <c r="B29" t="s">
        <v>117</v>
      </c>
      <c r="C29" t="s">
        <v>118</v>
      </c>
      <c r="D29" s="5">
        <v>10491.989305999999</v>
      </c>
      <c r="E29" s="5">
        <v>9977.4288359999991</v>
      </c>
      <c r="F29" s="5">
        <v>9820.4357569999993</v>
      </c>
      <c r="G29" t="s">
        <v>59</v>
      </c>
      <c r="H29" t="s">
        <v>133</v>
      </c>
    </row>
    <row r="30" spans="1:8" x14ac:dyDescent="0.25">
      <c r="A30" t="s">
        <v>134</v>
      </c>
      <c r="B30" t="s">
        <v>117</v>
      </c>
      <c r="C30" t="s">
        <v>118</v>
      </c>
      <c r="D30" s="5">
        <v>4336.1353399999998</v>
      </c>
      <c r="E30" s="5">
        <v>4189.5593449999997</v>
      </c>
      <c r="F30" s="5">
        <v>4194.8402169999999</v>
      </c>
      <c r="G30" t="s">
        <v>59</v>
      </c>
      <c r="H30" t="s">
        <v>59</v>
      </c>
    </row>
    <row r="31" spans="1:8" x14ac:dyDescent="0.25">
      <c r="A31" t="s">
        <v>135</v>
      </c>
      <c r="B31" t="s">
        <v>117</v>
      </c>
      <c r="C31" t="s">
        <v>118</v>
      </c>
      <c r="D31" s="5">
        <v>6316.7967850000005</v>
      </c>
      <c r="E31" s="5">
        <v>6258.4169220000003</v>
      </c>
      <c r="F31" s="5">
        <v>6051.6964209999996</v>
      </c>
      <c r="G31" t="s">
        <v>59</v>
      </c>
      <c r="H31" t="s">
        <v>136</v>
      </c>
    </row>
    <row r="32" spans="1:8" x14ac:dyDescent="0.25">
      <c r="A32" t="s">
        <v>216</v>
      </c>
      <c r="B32" t="s">
        <v>117</v>
      </c>
      <c r="D32" s="17">
        <v>8722.18</v>
      </c>
      <c r="E32" s="17">
        <v>7855.68</v>
      </c>
      <c r="F32" s="17">
        <v>7694.89</v>
      </c>
    </row>
    <row r="33" spans="1:8" x14ac:dyDescent="0.25">
      <c r="A33" t="s">
        <v>143</v>
      </c>
      <c r="B33" t="s">
        <v>14</v>
      </c>
      <c r="D33" s="15">
        <v>0.53</v>
      </c>
      <c r="E33" s="15">
        <v>-0.1</v>
      </c>
      <c r="F33" s="15">
        <v>-3.29</v>
      </c>
    </row>
    <row r="34" spans="1:8" x14ac:dyDescent="0.25">
      <c r="A34" t="s">
        <v>137</v>
      </c>
      <c r="B34" t="s">
        <v>138</v>
      </c>
      <c r="C34" t="s">
        <v>139</v>
      </c>
      <c r="D34" s="6"/>
      <c r="E34" s="6"/>
      <c r="F34" s="6"/>
      <c r="G34" t="s">
        <v>35</v>
      </c>
      <c r="H34" t="s">
        <v>140</v>
      </c>
    </row>
    <row r="35" spans="1:8" x14ac:dyDescent="0.25">
      <c r="A35" t="s">
        <v>217</v>
      </c>
      <c r="B35" t="s">
        <v>14</v>
      </c>
      <c r="C35" t="s">
        <v>118</v>
      </c>
      <c r="D35" s="5">
        <v>0.22560842667332401</v>
      </c>
      <c r="E35" s="5">
        <v>0.190664912901815</v>
      </c>
      <c r="F35" s="5">
        <v>0.15260264789490399</v>
      </c>
      <c r="G35" t="s">
        <v>22</v>
      </c>
      <c r="H35" t="s">
        <v>218</v>
      </c>
    </row>
    <row r="36" spans="1:8" x14ac:dyDescent="0.25">
      <c r="A36" t="s">
        <v>219</v>
      </c>
      <c r="B36" t="s">
        <v>14</v>
      </c>
      <c r="C36" t="s">
        <v>118</v>
      </c>
      <c r="D36" s="5">
        <v>99.774391573326696</v>
      </c>
      <c r="E36" s="5">
        <v>99.809335087098205</v>
      </c>
      <c r="F36" s="5">
        <v>99.847397352105105</v>
      </c>
      <c r="G36" t="s">
        <v>22</v>
      </c>
      <c r="H36" t="s">
        <v>220</v>
      </c>
    </row>
    <row r="37" spans="1:8" x14ac:dyDescent="0.25">
      <c r="A37" t="s">
        <v>144</v>
      </c>
      <c r="B37" t="s">
        <v>14</v>
      </c>
      <c r="C37" t="s">
        <v>118</v>
      </c>
      <c r="D37" s="5">
        <v>5.1572452027258997</v>
      </c>
      <c r="E37" s="5">
        <v>1.59863658685507</v>
      </c>
      <c r="F37" s="5">
        <v>30.180689846637499</v>
      </c>
      <c r="G37" t="s">
        <v>35</v>
      </c>
      <c r="H37" t="s">
        <v>145</v>
      </c>
    </row>
    <row r="38" spans="1:8" x14ac:dyDescent="0.25">
      <c r="A38" t="s">
        <v>146</v>
      </c>
      <c r="B38" t="s">
        <v>14</v>
      </c>
      <c r="C38" t="s">
        <v>118</v>
      </c>
      <c r="D38" s="5">
        <v>17.203978818225298</v>
      </c>
      <c r="E38" s="5">
        <v>22.220932878314301</v>
      </c>
      <c r="F38" s="5">
        <v>-3.7340016019965598</v>
      </c>
      <c r="G38" t="s">
        <v>35</v>
      </c>
      <c r="H38" t="s">
        <v>147</v>
      </c>
    </row>
    <row r="39" spans="1:8" x14ac:dyDescent="0.25">
      <c r="A39" t="s">
        <v>148</v>
      </c>
      <c r="B39" t="s">
        <v>14</v>
      </c>
      <c r="C39" t="s">
        <v>118</v>
      </c>
      <c r="D39" s="5">
        <v>-8.7472084458904007</v>
      </c>
      <c r="E39" s="5">
        <v>-8.8553102855297894</v>
      </c>
      <c r="F39" s="5">
        <v>12.649775418223699</v>
      </c>
      <c r="G39" t="s">
        <v>35</v>
      </c>
      <c r="H39" t="s">
        <v>149</v>
      </c>
    </row>
    <row r="40" spans="1:8" x14ac:dyDescent="0.25">
      <c r="A40" t="s">
        <v>150</v>
      </c>
      <c r="B40" t="s">
        <v>14</v>
      </c>
      <c r="C40" t="s">
        <v>118</v>
      </c>
      <c r="D40" s="5">
        <v>-7.3342800132811101</v>
      </c>
      <c r="E40" s="5">
        <v>74.379307187624704</v>
      </c>
      <c r="F40" s="5">
        <v>-8.0177361935046907</v>
      </c>
      <c r="G40" t="s">
        <v>35</v>
      </c>
      <c r="H40" t="s">
        <v>151</v>
      </c>
    </row>
    <row r="41" spans="1:8" x14ac:dyDescent="0.25">
      <c r="A41" t="s">
        <v>152</v>
      </c>
      <c r="B41" t="s">
        <v>14</v>
      </c>
      <c r="C41" t="s">
        <v>118</v>
      </c>
      <c r="D41" s="5">
        <v>0.78473940951943499</v>
      </c>
      <c r="E41" s="5">
        <v>-16.7784035548239</v>
      </c>
      <c r="F41" s="5">
        <v>19.179091466721498</v>
      </c>
      <c r="G41" t="s">
        <v>35</v>
      </c>
      <c r="H41" t="s">
        <v>153</v>
      </c>
    </row>
    <row r="42" spans="1:8" x14ac:dyDescent="0.25">
      <c r="A42" t="s">
        <v>164</v>
      </c>
      <c r="B42" t="s">
        <v>59</v>
      </c>
      <c r="C42" t="s">
        <v>102</v>
      </c>
      <c r="D42" s="6">
        <v>0.25</v>
      </c>
      <c r="E42" s="6">
        <v>0.25</v>
      </c>
      <c r="F42" s="6">
        <v>0.23</v>
      </c>
      <c r="G42" t="s">
        <v>165</v>
      </c>
      <c r="H42" t="s">
        <v>166</v>
      </c>
    </row>
    <row r="43" spans="1:8" x14ac:dyDescent="0.25">
      <c r="A43" t="s">
        <v>167</v>
      </c>
      <c r="B43" t="s">
        <v>101</v>
      </c>
      <c r="C43" t="s">
        <v>102</v>
      </c>
      <c r="D43" s="6">
        <v>29</v>
      </c>
      <c r="E43" s="6">
        <v>29</v>
      </c>
      <c r="F43" s="6">
        <v>27</v>
      </c>
      <c r="G43" t="s">
        <v>168</v>
      </c>
      <c r="H43" t="s">
        <v>59</v>
      </c>
    </row>
    <row r="44" spans="1:8" x14ac:dyDescent="0.25">
      <c r="A44" t="s">
        <v>169</v>
      </c>
      <c r="B44" t="s">
        <v>101</v>
      </c>
      <c r="C44" t="s">
        <v>102</v>
      </c>
      <c r="D44" s="6">
        <v>116</v>
      </c>
      <c r="E44" s="6">
        <v>118</v>
      </c>
      <c r="F44" s="6">
        <v>120</v>
      </c>
      <c r="G44" t="s">
        <v>168</v>
      </c>
      <c r="H44" t="s">
        <v>59</v>
      </c>
    </row>
    <row r="45" spans="1:8" x14ac:dyDescent="0.25">
      <c r="A45" t="s">
        <v>221</v>
      </c>
      <c r="B45" t="s">
        <v>14</v>
      </c>
      <c r="C45" t="s">
        <v>102</v>
      </c>
      <c r="D45" s="6">
        <v>24.14</v>
      </c>
      <c r="E45" s="6">
        <v>20.69</v>
      </c>
      <c r="F45" s="6">
        <v>22.22</v>
      </c>
      <c r="G45" t="s">
        <v>59</v>
      </c>
      <c r="H45" t="s">
        <v>222</v>
      </c>
    </row>
    <row r="46" spans="1:8" x14ac:dyDescent="0.25">
      <c r="A46" t="s">
        <v>223</v>
      </c>
      <c r="B46" t="s">
        <v>14</v>
      </c>
      <c r="C46" t="s">
        <v>102</v>
      </c>
      <c r="D46" s="6">
        <v>3.45</v>
      </c>
      <c r="E46" s="6">
        <v>3.45</v>
      </c>
      <c r="F46" s="6">
        <v>3.7</v>
      </c>
      <c r="G46" t="s">
        <v>59</v>
      </c>
      <c r="H46" t="s">
        <v>224</v>
      </c>
    </row>
    <row r="47" spans="1:8" x14ac:dyDescent="0.25">
      <c r="A47" t="s">
        <v>225</v>
      </c>
      <c r="B47" t="s">
        <v>14</v>
      </c>
      <c r="C47" t="s">
        <v>102</v>
      </c>
      <c r="D47" s="6">
        <v>79.31</v>
      </c>
      <c r="E47" s="6">
        <v>75.86</v>
      </c>
      <c r="F47" s="6">
        <v>74.069999999999993</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5">
        <v>6802.7210884353699</v>
      </c>
      <c r="F51" s="5">
        <v>3401.3605442176899</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3.4000000000000002E-2</v>
      </c>
      <c r="E54" s="6">
        <v>0</v>
      </c>
      <c r="F54" s="6">
        <v>0</v>
      </c>
      <c r="G54" t="s">
        <v>205</v>
      </c>
      <c r="H54" t="s">
        <v>59</v>
      </c>
    </row>
    <row r="55" spans="1:8" x14ac:dyDescent="0.25">
      <c r="A55" t="s">
        <v>206</v>
      </c>
      <c r="B55" t="s">
        <v>207</v>
      </c>
      <c r="C55" t="s">
        <v>176</v>
      </c>
      <c r="D55" s="6">
        <v>5.2999999999999999E-2</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3.1111111111111098</v>
      </c>
      <c r="E58" s="9">
        <v>4.2682926829268304</v>
      </c>
      <c r="F58" s="9">
        <v>4.7</v>
      </c>
      <c r="G58" t="s">
        <v>59</v>
      </c>
      <c r="H58" t="s">
        <v>213</v>
      </c>
    </row>
    <row r="59" spans="1:8" x14ac:dyDescent="0.25">
      <c r="A59" t="s">
        <v>214</v>
      </c>
      <c r="B59" t="s">
        <v>14</v>
      </c>
      <c r="C59" t="s">
        <v>15</v>
      </c>
      <c r="D59" s="5">
        <v>30.1111111111111</v>
      </c>
      <c r="E59" s="5">
        <v>38.658536585365901</v>
      </c>
      <c r="F59" s="5">
        <v>31.520395550061799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[1]重症医学科!$O$4</f>
        <v>细菌性肺炎</v>
      </c>
      <c r="E72" s="10" t="str">
        <f>[1]重症医学科!$I$4</f>
        <v>细菌性肺炎</v>
      </c>
      <c r="F72" s="10" t="str">
        <f>[1]重症医学科!$C$4</f>
        <v>细菌性肺炎</v>
      </c>
      <c r="G72" t="s">
        <v>59</v>
      </c>
      <c r="H72" t="s">
        <v>59</v>
      </c>
    </row>
    <row r="73" spans="1:8" x14ac:dyDescent="0.25">
      <c r="A73" t="s">
        <v>241</v>
      </c>
      <c r="B73" t="s">
        <v>59</v>
      </c>
      <c r="C73" t="s">
        <v>90</v>
      </c>
      <c r="D73" s="10" t="str">
        <f>[1]重症医学科!$N$4</f>
        <v>J13-J18</v>
      </c>
      <c r="E73" s="10" t="str">
        <f>[1]重症医学科!$H$4</f>
        <v>J13-J18</v>
      </c>
      <c r="F73" s="10" t="str">
        <f>[1]重症医学科!$B$4</f>
        <v>J13-J18</v>
      </c>
      <c r="G73" t="s">
        <v>59</v>
      </c>
      <c r="H73" t="s">
        <v>59</v>
      </c>
    </row>
    <row r="74" spans="1:8" x14ac:dyDescent="0.25">
      <c r="A74" t="s">
        <v>242</v>
      </c>
      <c r="B74" t="s">
        <v>14</v>
      </c>
      <c r="C74" t="s">
        <v>90</v>
      </c>
      <c r="D74" s="10">
        <f>[1]重症医学科!$Q$4</f>
        <v>14.1111111111111</v>
      </c>
      <c r="E74" s="10">
        <f>[1]重症医学科!$K$4</f>
        <v>16.585365853658502</v>
      </c>
      <c r="F74" s="10">
        <f>[1]重症医学科!$E$4</f>
        <v>22.867737948084098</v>
      </c>
      <c r="G74" t="s">
        <v>59</v>
      </c>
      <c r="H74" t="s">
        <v>59</v>
      </c>
    </row>
    <row r="75" spans="1:8" x14ac:dyDescent="0.25">
      <c r="A75" t="s">
        <v>243</v>
      </c>
      <c r="B75" t="s">
        <v>59</v>
      </c>
      <c r="C75" t="s">
        <v>90</v>
      </c>
      <c r="D75" s="10" t="str">
        <f>[1]重症医学科!$O$5</f>
        <v>败血症</v>
      </c>
      <c r="E75" s="10" t="str">
        <f>[1]重症医学科!$I$5</f>
        <v>败血症</v>
      </c>
      <c r="F75" s="10" t="str">
        <f>[1]重症医学科!$C$5</f>
        <v>败血症</v>
      </c>
      <c r="G75" t="s">
        <v>59</v>
      </c>
      <c r="H75" t="s">
        <v>59</v>
      </c>
    </row>
    <row r="76" spans="1:8" x14ac:dyDescent="0.25">
      <c r="A76" t="s">
        <v>244</v>
      </c>
      <c r="B76" t="s">
        <v>59</v>
      </c>
      <c r="C76" t="s">
        <v>90</v>
      </c>
      <c r="D76" s="10" t="str">
        <f>[1]重症医学科!$N$5</f>
        <v>A40-A41</v>
      </c>
      <c r="E76" s="10" t="str">
        <f>[1]重症医学科!$H$5</f>
        <v>A40-A41</v>
      </c>
      <c r="F76" s="10" t="str">
        <f>[1]重症医学科!$B$5</f>
        <v>A40-A41</v>
      </c>
      <c r="G76" t="s">
        <v>59</v>
      </c>
      <c r="H76" t="s">
        <v>59</v>
      </c>
    </row>
    <row r="77" spans="1:8" x14ac:dyDescent="0.25">
      <c r="A77" t="s">
        <v>245</v>
      </c>
      <c r="B77" t="s">
        <v>14</v>
      </c>
      <c r="C77" t="s">
        <v>90</v>
      </c>
      <c r="D77" s="10">
        <f>[1]重症医学科!$Q$5</f>
        <v>13.2222222222222</v>
      </c>
      <c r="E77" s="10">
        <f>[1]重症医学科!$K$5</f>
        <v>8.4146341463414593</v>
      </c>
      <c r="F77" s="10">
        <f>[1]重症医学科!$E$5</f>
        <v>6.7985166872682301</v>
      </c>
      <c r="G77" t="s">
        <v>59</v>
      </c>
      <c r="H77" t="s">
        <v>59</v>
      </c>
    </row>
    <row r="78" spans="1:8" x14ac:dyDescent="0.25">
      <c r="A78" t="s">
        <v>246</v>
      </c>
      <c r="B78" t="s">
        <v>59</v>
      </c>
      <c r="C78" t="s">
        <v>90</v>
      </c>
      <c r="D78" s="10" t="str">
        <f>[1]重症医学科!$O$6</f>
        <v>脑梗死</v>
      </c>
      <c r="E78" s="10" t="str">
        <f>[1]重症医学科!$I$6</f>
        <v>脑梗死</v>
      </c>
      <c r="F78" s="10" t="str">
        <f>[1]重症医学科!$C$6</f>
        <v>脑梗死</v>
      </c>
      <c r="G78" t="s">
        <v>59</v>
      </c>
      <c r="H78" t="s">
        <v>59</v>
      </c>
    </row>
    <row r="79" spans="1:8" x14ac:dyDescent="0.25">
      <c r="A79" t="s">
        <v>247</v>
      </c>
      <c r="B79" t="s">
        <v>59</v>
      </c>
      <c r="C79" t="s">
        <v>90</v>
      </c>
      <c r="D79" s="10" t="str">
        <f>[1]重症医学科!$N$6</f>
        <v>I63</v>
      </c>
      <c r="E79" s="10" t="str">
        <f>[1]重症医学科!$H$6</f>
        <v>I63</v>
      </c>
      <c r="F79" s="10" t="str">
        <f>[1]重症医学科!$B$6</f>
        <v>I63</v>
      </c>
      <c r="G79" t="s">
        <v>59</v>
      </c>
      <c r="H79" t="s">
        <v>59</v>
      </c>
    </row>
    <row r="80" spans="1:8" x14ac:dyDescent="0.25">
      <c r="A80" t="s">
        <v>248</v>
      </c>
      <c r="B80" t="s">
        <v>14</v>
      </c>
      <c r="C80" t="s">
        <v>90</v>
      </c>
      <c r="D80" s="10">
        <f>[1]重症医学科!$Q$6</f>
        <v>6.6666666666666696</v>
      </c>
      <c r="E80" s="10">
        <f>[1]重症医学科!$K$6</f>
        <v>6.3414634146341502</v>
      </c>
      <c r="F80" s="10">
        <f>[1]重症医学科!$E$6</f>
        <v>6.6749072929542601</v>
      </c>
      <c r="G80" t="s">
        <v>59</v>
      </c>
      <c r="H80" t="s">
        <v>59</v>
      </c>
    </row>
    <row r="81" spans="1:8" x14ac:dyDescent="0.25">
      <c r="A81" t="s">
        <v>249</v>
      </c>
      <c r="B81" t="s">
        <v>59</v>
      </c>
      <c r="C81" t="s">
        <v>90</v>
      </c>
      <c r="D81" s="10" t="str">
        <f>[1]重症医学科!$O$7</f>
        <v>急性心肌梗死</v>
      </c>
      <c r="E81" s="10" t="str">
        <f>[1]重症医学科!$I$7</f>
        <v>急性心肌梗死</v>
      </c>
      <c r="F81" s="10" t="str">
        <f>[1]重症医学科!$C$7</f>
        <v>脑内出血</v>
      </c>
      <c r="G81" t="s">
        <v>59</v>
      </c>
      <c r="H81" t="s">
        <v>59</v>
      </c>
    </row>
    <row r="82" spans="1:8" x14ac:dyDescent="0.25">
      <c r="A82" t="s">
        <v>250</v>
      </c>
      <c r="B82" t="s">
        <v>59</v>
      </c>
      <c r="C82" t="s">
        <v>90</v>
      </c>
      <c r="D82" s="10" t="str">
        <f>[1]重症医学科!$N$7</f>
        <v>I21</v>
      </c>
      <c r="E82" s="10" t="str">
        <f>[1]重症医学科!$H$7</f>
        <v>I21</v>
      </c>
      <c r="F82" s="10" t="str">
        <f>[1]重症医学科!$B$7</f>
        <v>I61</v>
      </c>
      <c r="G82" t="s">
        <v>59</v>
      </c>
      <c r="H82" t="s">
        <v>59</v>
      </c>
    </row>
    <row r="83" spans="1:8" x14ac:dyDescent="0.25">
      <c r="A83" t="s">
        <v>251</v>
      </c>
      <c r="B83" t="s">
        <v>14</v>
      </c>
      <c r="C83" t="s">
        <v>90</v>
      </c>
      <c r="D83" s="10">
        <f>[1]重症医学科!$Q$7</f>
        <v>5.5555555555555598</v>
      </c>
      <c r="E83" s="10">
        <f>[1]重症医学科!$K$7</f>
        <v>5.2439024390243896</v>
      </c>
      <c r="F83" s="10">
        <f>[1]重症医学科!$E$7</f>
        <v>4.4499381953028401</v>
      </c>
      <c r="G83" t="s">
        <v>59</v>
      </c>
      <c r="H83" t="s">
        <v>59</v>
      </c>
    </row>
    <row r="84" spans="1:8" x14ac:dyDescent="0.25">
      <c r="A84" t="s">
        <v>252</v>
      </c>
      <c r="B84" t="s">
        <v>59</v>
      </c>
      <c r="C84" t="s">
        <v>90</v>
      </c>
      <c r="D84" s="10" t="str">
        <f>[1]重症医学科!$O$8</f>
        <v>脑内出血</v>
      </c>
      <c r="E84" s="10" t="str">
        <f>[1]重症医学科!$I$8</f>
        <v>脑内出血</v>
      </c>
      <c r="F84" s="10" t="str">
        <f>[1]重症医学科!$C$8</f>
        <v>慢性阻塞性肺病</v>
      </c>
      <c r="G84" t="s">
        <v>59</v>
      </c>
      <c r="H84" t="s">
        <v>59</v>
      </c>
    </row>
    <row r="85" spans="1:8" x14ac:dyDescent="0.25">
      <c r="A85" t="s">
        <v>253</v>
      </c>
      <c r="B85" t="s">
        <v>59</v>
      </c>
      <c r="C85" t="s">
        <v>90</v>
      </c>
      <c r="D85" s="10" t="str">
        <f>[1]重症医学科!$N$8</f>
        <v>I61</v>
      </c>
      <c r="E85" s="10" t="str">
        <f>[1]重症医学科!$H$8</f>
        <v>I61</v>
      </c>
      <c r="F85" s="10" t="str">
        <f>[1]重症医学科!$B$8</f>
        <v>J44</v>
      </c>
      <c r="G85" t="s">
        <v>59</v>
      </c>
      <c r="H85" t="s">
        <v>59</v>
      </c>
    </row>
    <row r="86" spans="1:8" x14ac:dyDescent="0.25">
      <c r="A86" t="s">
        <v>254</v>
      </c>
      <c r="B86" t="s">
        <v>14</v>
      </c>
      <c r="C86" t="s">
        <v>90</v>
      </c>
      <c r="D86" s="10">
        <f>[1]重症医学科!$Q$8</f>
        <v>5</v>
      </c>
      <c r="E86" s="10">
        <f>[1]重症医学科!$K$8</f>
        <v>4.2682926829268304</v>
      </c>
      <c r="F86" s="10">
        <f>[1]重症医学科!$E$8</f>
        <v>3.5846724351050701</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0.45988758303525801</v>
      </c>
      <c r="E2" s="5">
        <v>0.47095761381475698</v>
      </c>
      <c r="F2" s="5">
        <v>0.438810336421258</v>
      </c>
      <c r="G2" t="s">
        <v>16</v>
      </c>
      <c r="H2" t="s">
        <v>17</v>
      </c>
    </row>
    <row r="3" spans="1:8" x14ac:dyDescent="0.25">
      <c r="A3" t="s">
        <v>18</v>
      </c>
      <c r="B3" t="s">
        <v>14</v>
      </c>
      <c r="C3" t="s">
        <v>15</v>
      </c>
      <c r="D3" s="5">
        <v>0</v>
      </c>
      <c r="E3" s="5">
        <v>11.1111111111111</v>
      </c>
      <c r="F3" s="5">
        <v>11.1111111111111</v>
      </c>
      <c r="G3" t="s">
        <v>19</v>
      </c>
      <c r="H3" t="s">
        <v>20</v>
      </c>
    </row>
    <row r="4" spans="1:8" x14ac:dyDescent="0.25">
      <c r="A4" t="s">
        <v>21</v>
      </c>
      <c r="B4" t="s">
        <v>14</v>
      </c>
      <c r="C4" t="s">
        <v>15</v>
      </c>
      <c r="D4" s="5">
        <v>0</v>
      </c>
      <c r="E4" s="5">
        <v>11.1111111111111</v>
      </c>
      <c r="F4" s="5">
        <v>11.1111111111111</v>
      </c>
      <c r="G4" t="s">
        <v>22</v>
      </c>
      <c r="H4" t="s">
        <v>23</v>
      </c>
    </row>
    <row r="5" spans="1:8" x14ac:dyDescent="0.25">
      <c r="A5" t="s">
        <v>24</v>
      </c>
      <c r="B5" t="s">
        <v>14</v>
      </c>
      <c r="C5" t="s">
        <v>15</v>
      </c>
      <c r="D5" s="6">
        <v>99.59</v>
      </c>
      <c r="E5" s="6">
        <v>99.22</v>
      </c>
      <c r="F5" s="6">
        <v>97.76</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0.82</v>
      </c>
      <c r="E10" s="6">
        <v>0.57999999999999996</v>
      </c>
      <c r="F10" s="6">
        <v>0.78</v>
      </c>
      <c r="G10" t="s">
        <v>58</v>
      </c>
      <c r="H10" t="s">
        <v>59</v>
      </c>
    </row>
    <row r="11" spans="1:8" x14ac:dyDescent="0.25">
      <c r="A11" t="s">
        <v>63</v>
      </c>
      <c r="B11" t="s">
        <v>64</v>
      </c>
      <c r="C11" t="s">
        <v>61</v>
      </c>
      <c r="D11" s="11">
        <v>22.042491286882601</v>
      </c>
      <c r="E11" s="11">
        <v>20.084221943796699</v>
      </c>
      <c r="F11" s="11">
        <v>20.013822138425802</v>
      </c>
      <c r="G11" t="s">
        <v>35</v>
      </c>
      <c r="H11" t="s">
        <v>65</v>
      </c>
    </row>
    <row r="12" spans="1:8" x14ac:dyDescent="0.25">
      <c r="A12" t="s">
        <v>66</v>
      </c>
      <c r="B12" t="s">
        <v>14</v>
      </c>
      <c r="C12" t="s">
        <v>61</v>
      </c>
      <c r="D12" s="6">
        <v>74.41</v>
      </c>
      <c r="E12" s="6">
        <v>58.75</v>
      </c>
      <c r="F12" s="6">
        <v>50.51</v>
      </c>
      <c r="G12" t="s">
        <v>39</v>
      </c>
      <c r="H12" t="s">
        <v>67</v>
      </c>
    </row>
    <row r="13" spans="1:8" x14ac:dyDescent="0.25">
      <c r="A13" t="s">
        <v>68</v>
      </c>
      <c r="B13" t="s">
        <v>14</v>
      </c>
      <c r="C13" t="s">
        <v>61</v>
      </c>
      <c r="D13" s="6">
        <v>95.43</v>
      </c>
      <c r="E13" s="6">
        <v>95.21</v>
      </c>
      <c r="F13" s="6">
        <v>91.77</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8.08</v>
      </c>
      <c r="E15" s="6">
        <v>8.4</v>
      </c>
      <c r="F15" s="6">
        <v>8.83</v>
      </c>
      <c r="G15" t="s">
        <v>93</v>
      </c>
      <c r="H15" t="s">
        <v>94</v>
      </c>
    </row>
    <row r="16" spans="1:8" x14ac:dyDescent="0.25">
      <c r="A16" t="s">
        <v>95</v>
      </c>
      <c r="B16" t="s">
        <v>59</v>
      </c>
      <c r="C16" t="s">
        <v>34</v>
      </c>
      <c r="D16" s="6">
        <v>0.87</v>
      </c>
      <c r="E16" s="6">
        <v>0.85</v>
      </c>
      <c r="F16" s="6">
        <v>0.88</v>
      </c>
      <c r="G16" t="s">
        <v>96</v>
      </c>
      <c r="H16" t="s">
        <v>59</v>
      </c>
    </row>
    <row r="17" spans="1:8" x14ac:dyDescent="0.25">
      <c r="A17" t="s">
        <v>97</v>
      </c>
      <c r="B17" t="s">
        <v>98</v>
      </c>
      <c r="C17" t="s">
        <v>34</v>
      </c>
      <c r="D17" s="6">
        <v>60</v>
      </c>
      <c r="E17" s="6">
        <v>54</v>
      </c>
      <c r="F17" s="6">
        <v>50</v>
      </c>
      <c r="G17" t="s">
        <v>99</v>
      </c>
      <c r="H17" t="s">
        <v>59</v>
      </c>
    </row>
    <row r="18" spans="1:8" x14ac:dyDescent="0.25">
      <c r="A18" t="s">
        <v>104</v>
      </c>
      <c r="B18" t="s">
        <v>105</v>
      </c>
      <c r="C18" t="s">
        <v>15</v>
      </c>
      <c r="D18" s="6">
        <v>45</v>
      </c>
      <c r="E18" s="6">
        <v>45</v>
      </c>
      <c r="F18" s="6">
        <v>45</v>
      </c>
      <c r="G18" t="s">
        <v>58</v>
      </c>
      <c r="H18" t="s">
        <v>59</v>
      </c>
    </row>
    <row r="19" spans="1:8" x14ac:dyDescent="0.25">
      <c r="A19" t="s">
        <v>106</v>
      </c>
      <c r="B19" t="s">
        <v>105</v>
      </c>
      <c r="C19" t="s">
        <v>15</v>
      </c>
      <c r="D19" s="6">
        <v>47</v>
      </c>
      <c r="E19" s="6">
        <v>45</v>
      </c>
      <c r="F19" s="6">
        <v>48</v>
      </c>
      <c r="G19" t="s">
        <v>58</v>
      </c>
      <c r="H19" t="s">
        <v>59</v>
      </c>
    </row>
    <row r="20" spans="1:8" x14ac:dyDescent="0.25">
      <c r="A20" t="s">
        <v>107</v>
      </c>
      <c r="B20" t="s">
        <v>14</v>
      </c>
      <c r="C20" t="s">
        <v>15</v>
      </c>
      <c r="D20" s="6">
        <v>95.34</v>
      </c>
      <c r="E20" s="6">
        <v>95.03</v>
      </c>
      <c r="F20" s="6">
        <v>104.16</v>
      </c>
      <c r="G20" t="s">
        <v>58</v>
      </c>
      <c r="H20" t="s">
        <v>108</v>
      </c>
    </row>
    <row r="21" spans="1:8" x14ac:dyDescent="0.25">
      <c r="A21" t="s">
        <v>112</v>
      </c>
      <c r="B21" t="s">
        <v>59</v>
      </c>
      <c r="C21" t="s">
        <v>102</v>
      </c>
      <c r="D21" s="5">
        <f t="shared" ref="D21:F21" si="0">D43/D19</f>
        <v>0.19148936170212766</v>
      </c>
      <c r="E21" s="5">
        <f t="shared" si="0"/>
        <v>0.2</v>
      </c>
      <c r="F21" s="5">
        <f t="shared" si="0"/>
        <v>0.1875</v>
      </c>
      <c r="G21" t="s">
        <v>110</v>
      </c>
      <c r="H21" t="s">
        <v>113</v>
      </c>
    </row>
    <row r="22" spans="1:8" x14ac:dyDescent="0.25">
      <c r="A22" t="s">
        <v>114</v>
      </c>
      <c r="B22" t="s">
        <v>59</v>
      </c>
      <c r="C22" t="s">
        <v>102</v>
      </c>
      <c r="D22" s="5">
        <f t="shared" ref="D22:F22" si="1">D44/D19</f>
        <v>0.38297872340425532</v>
      </c>
      <c r="E22" s="5">
        <f t="shared" si="1"/>
        <v>0.4</v>
      </c>
      <c r="F22" s="5">
        <f t="shared" si="1"/>
        <v>0.35416666666666669</v>
      </c>
      <c r="G22" t="s">
        <v>110</v>
      </c>
      <c r="H22" t="s">
        <v>115</v>
      </c>
    </row>
    <row r="23" spans="1:8" x14ac:dyDescent="0.25">
      <c r="A23" t="s">
        <v>116</v>
      </c>
      <c r="B23" t="s">
        <v>117</v>
      </c>
      <c r="C23" t="s">
        <v>118</v>
      </c>
      <c r="D23" s="5">
        <v>11.539198678571401</v>
      </c>
      <c r="E23" s="5">
        <v>11.2143608571429</v>
      </c>
      <c r="F23" s="5">
        <v>11.695342689655201</v>
      </c>
      <c r="G23" t="s">
        <v>119</v>
      </c>
      <c r="H23" t="s">
        <v>59</v>
      </c>
    </row>
    <row r="24" spans="1:8" x14ac:dyDescent="0.25">
      <c r="A24" t="s">
        <v>120</v>
      </c>
      <c r="B24" t="s">
        <v>117</v>
      </c>
      <c r="C24" t="s">
        <v>118</v>
      </c>
      <c r="D24" s="5">
        <v>50.056192035714297</v>
      </c>
      <c r="E24" s="5">
        <v>47.37530675</v>
      </c>
      <c r="F24" s="5">
        <v>47.777135999999999</v>
      </c>
      <c r="G24" t="s">
        <v>121</v>
      </c>
      <c r="H24" t="s">
        <v>59</v>
      </c>
    </row>
    <row r="25" spans="1:8" x14ac:dyDescent="0.25">
      <c r="A25" t="s">
        <v>122</v>
      </c>
      <c r="B25" t="s">
        <v>117</v>
      </c>
      <c r="C25" t="s">
        <v>118</v>
      </c>
      <c r="D25" s="5">
        <v>6.9723254855416501</v>
      </c>
      <c r="E25" s="5">
        <v>6.7166225454545403</v>
      </c>
      <c r="F25" s="5">
        <v>7.0659362083333299</v>
      </c>
      <c r="G25" t="s">
        <v>123</v>
      </c>
      <c r="H25" t="s">
        <v>59</v>
      </c>
    </row>
    <row r="26" spans="1:8" x14ac:dyDescent="0.25">
      <c r="A26" t="s">
        <v>124</v>
      </c>
      <c r="B26" t="s">
        <v>117</v>
      </c>
      <c r="C26" t="s">
        <v>118</v>
      </c>
      <c r="D26" s="5">
        <v>30.245433254207999</v>
      </c>
      <c r="E26" s="5">
        <v>28.374515272727301</v>
      </c>
      <c r="F26" s="5">
        <v>28.865352999999999</v>
      </c>
      <c r="G26" t="s">
        <v>125</v>
      </c>
      <c r="H26" t="s">
        <v>59</v>
      </c>
    </row>
    <row r="27" spans="1:8" x14ac:dyDescent="0.25">
      <c r="A27" t="s">
        <v>126</v>
      </c>
      <c r="B27" t="s">
        <v>127</v>
      </c>
      <c r="C27" t="s">
        <v>118</v>
      </c>
      <c r="D27" s="5">
        <v>4.9092846270928501</v>
      </c>
      <c r="E27" s="5">
        <v>4.94946727549467</v>
      </c>
      <c r="F27" s="5">
        <v>5.5549467275494697</v>
      </c>
      <c r="G27" t="s">
        <v>39</v>
      </c>
      <c r="H27" t="s">
        <v>128</v>
      </c>
    </row>
    <row r="28" spans="1:8" x14ac:dyDescent="0.25">
      <c r="A28" t="s">
        <v>129</v>
      </c>
      <c r="B28" t="s">
        <v>14</v>
      </c>
      <c r="C28" t="s">
        <v>118</v>
      </c>
      <c r="D28" s="5">
        <v>15.549710654422899</v>
      </c>
      <c r="E28" s="5">
        <v>16.336659545110098</v>
      </c>
      <c r="F28" s="5">
        <v>16.363815171009399</v>
      </c>
      <c r="G28" t="s">
        <v>130</v>
      </c>
      <c r="H28" t="s">
        <v>131</v>
      </c>
    </row>
    <row r="29" spans="1:8" x14ac:dyDescent="0.25">
      <c r="A29" t="s">
        <v>132</v>
      </c>
      <c r="B29" t="s">
        <v>117</v>
      </c>
      <c r="C29" t="s">
        <v>118</v>
      </c>
      <c r="D29" s="5">
        <v>2077.8364959999999</v>
      </c>
      <c r="E29" s="5">
        <v>1922.07044</v>
      </c>
      <c r="F29" s="5">
        <v>2072.651973</v>
      </c>
      <c r="G29" t="s">
        <v>59</v>
      </c>
      <c r="H29" t="s">
        <v>133</v>
      </c>
    </row>
    <row r="30" spans="1:8" x14ac:dyDescent="0.25">
      <c r="A30" t="s">
        <v>134</v>
      </c>
      <c r="B30" t="s">
        <v>117</v>
      </c>
      <c r="C30" t="s">
        <v>118</v>
      </c>
      <c r="D30" s="5">
        <v>323.09756299999998</v>
      </c>
      <c r="E30" s="5">
        <v>314.00210399999997</v>
      </c>
      <c r="F30" s="5">
        <v>339.16493800000001</v>
      </c>
      <c r="G30" t="s">
        <v>59</v>
      </c>
      <c r="H30" t="s">
        <v>59</v>
      </c>
    </row>
    <row r="31" spans="1:8" x14ac:dyDescent="0.25">
      <c r="A31" t="s">
        <v>135</v>
      </c>
      <c r="B31" t="s">
        <v>117</v>
      </c>
      <c r="C31" t="s">
        <v>118</v>
      </c>
      <c r="D31" s="5">
        <v>1401.5733769999999</v>
      </c>
      <c r="E31" s="5">
        <v>1326.508589</v>
      </c>
      <c r="F31" s="5">
        <v>1385.5369439999999</v>
      </c>
      <c r="G31" t="s">
        <v>59</v>
      </c>
      <c r="H31" t="s">
        <v>136</v>
      </c>
    </row>
    <row r="32" spans="1:8" x14ac:dyDescent="0.25">
      <c r="A32" t="s">
        <v>216</v>
      </c>
      <c r="B32" t="s">
        <v>117</v>
      </c>
      <c r="D32" s="17">
        <v>1470.14</v>
      </c>
      <c r="E32" s="17">
        <v>1281.82</v>
      </c>
      <c r="F32" s="17">
        <v>1383.68</v>
      </c>
    </row>
    <row r="33" spans="1:8" x14ac:dyDescent="0.25">
      <c r="A33" t="s">
        <v>143</v>
      </c>
      <c r="B33" t="s">
        <v>14</v>
      </c>
      <c r="D33" s="15">
        <v>-7.02</v>
      </c>
      <c r="E33" s="15">
        <v>-7.99</v>
      </c>
      <c r="F33" s="15">
        <v>-9.4700000000000006</v>
      </c>
    </row>
    <row r="34" spans="1:8" x14ac:dyDescent="0.25">
      <c r="A34" t="s">
        <v>137</v>
      </c>
      <c r="B34" t="s">
        <v>138</v>
      </c>
      <c r="C34" t="s">
        <v>139</v>
      </c>
      <c r="D34" s="6"/>
      <c r="E34" s="6"/>
      <c r="F34" s="6"/>
      <c r="G34" t="s">
        <v>35</v>
      </c>
      <c r="H34" t="s">
        <v>140</v>
      </c>
    </row>
    <row r="35" spans="1:8" x14ac:dyDescent="0.25">
      <c r="A35" t="s">
        <v>217</v>
      </c>
      <c r="B35" t="s">
        <v>14</v>
      </c>
      <c r="C35" t="s">
        <v>118</v>
      </c>
      <c r="D35" s="5">
        <v>49.815180789855603</v>
      </c>
      <c r="E35" s="5">
        <v>43.968286042628101</v>
      </c>
      <c r="F35" s="5">
        <v>41.9264869510246</v>
      </c>
      <c r="G35" t="s">
        <v>22</v>
      </c>
      <c r="H35" t="s">
        <v>218</v>
      </c>
    </row>
    <row r="36" spans="1:8" x14ac:dyDescent="0.25">
      <c r="A36" t="s">
        <v>219</v>
      </c>
      <c r="B36" t="s">
        <v>14</v>
      </c>
      <c r="C36" t="s">
        <v>118</v>
      </c>
      <c r="D36" s="5">
        <v>50.184819210144397</v>
      </c>
      <c r="E36" s="5">
        <v>56.031713957371899</v>
      </c>
      <c r="F36" s="5">
        <v>58.0735130489753</v>
      </c>
      <c r="G36" t="s">
        <v>22</v>
      </c>
      <c r="H36" t="s">
        <v>220</v>
      </c>
    </row>
    <row r="37" spans="1:8" x14ac:dyDescent="0.25">
      <c r="A37" t="s">
        <v>144</v>
      </c>
      <c r="B37" t="s">
        <v>14</v>
      </c>
      <c r="C37" t="s">
        <v>118</v>
      </c>
      <c r="D37" s="5">
        <v>8.1040763521653201</v>
      </c>
      <c r="E37" s="5">
        <v>-7.2651624566783903</v>
      </c>
      <c r="F37" s="5">
        <v>11.0112303902328</v>
      </c>
      <c r="G37" t="s">
        <v>35</v>
      </c>
      <c r="H37" t="s">
        <v>145</v>
      </c>
    </row>
    <row r="38" spans="1:8" x14ac:dyDescent="0.25">
      <c r="A38" t="s">
        <v>146</v>
      </c>
      <c r="B38" t="s">
        <v>14</v>
      </c>
      <c r="C38" t="s">
        <v>118</v>
      </c>
      <c r="D38" s="5">
        <v>-6.4868352317011602E-2</v>
      </c>
      <c r="E38" s="5">
        <v>3.9625781873085302</v>
      </c>
      <c r="F38" s="5">
        <v>-0.92720414136524898</v>
      </c>
      <c r="G38" t="s">
        <v>35</v>
      </c>
      <c r="H38" t="s">
        <v>147</v>
      </c>
    </row>
    <row r="39" spans="1:8" x14ac:dyDescent="0.25">
      <c r="A39" t="s">
        <v>148</v>
      </c>
      <c r="B39" t="s">
        <v>14</v>
      </c>
      <c r="C39" t="s">
        <v>118</v>
      </c>
      <c r="D39" s="5">
        <v>-6.1027556623689003</v>
      </c>
      <c r="E39" s="5">
        <v>-4.4702265419717104</v>
      </c>
      <c r="F39" s="5">
        <v>-1.3465868062666699</v>
      </c>
      <c r="G39" t="s">
        <v>35</v>
      </c>
      <c r="H39" t="s">
        <v>149</v>
      </c>
    </row>
    <row r="40" spans="1:8" x14ac:dyDescent="0.25">
      <c r="A40" t="s">
        <v>150</v>
      </c>
      <c r="B40" t="s">
        <v>14</v>
      </c>
      <c r="C40" t="s">
        <v>118</v>
      </c>
      <c r="D40" s="5">
        <v>15.494192140475199</v>
      </c>
      <c r="E40" s="5">
        <v>6.9343489605739501</v>
      </c>
      <c r="F40" s="5">
        <v>10.0639664183318</v>
      </c>
      <c r="G40" t="s">
        <v>35</v>
      </c>
      <c r="H40" t="s">
        <v>151</v>
      </c>
    </row>
    <row r="41" spans="1:8" x14ac:dyDescent="0.25">
      <c r="A41" t="s">
        <v>152</v>
      </c>
      <c r="B41" t="s">
        <v>14</v>
      </c>
      <c r="C41" t="s">
        <v>118</v>
      </c>
      <c r="D41" s="5">
        <v>-9.1712403576326391</v>
      </c>
      <c r="E41" s="5">
        <v>-19.845989540200101</v>
      </c>
      <c r="F41" s="5">
        <v>-8.2109946373408302</v>
      </c>
      <c r="G41" t="s">
        <v>35</v>
      </c>
      <c r="H41" t="s">
        <v>153</v>
      </c>
    </row>
    <row r="42" spans="1:8" x14ac:dyDescent="0.25">
      <c r="A42" t="s">
        <v>164</v>
      </c>
      <c r="B42" t="s">
        <v>59</v>
      </c>
      <c r="C42" t="s">
        <v>102</v>
      </c>
      <c r="D42" s="6">
        <v>0.5</v>
      </c>
      <c r="E42" s="6">
        <v>0.5</v>
      </c>
      <c r="F42" s="6">
        <v>0.53</v>
      </c>
      <c r="G42" t="s">
        <v>165</v>
      </c>
      <c r="H42" t="s">
        <v>166</v>
      </c>
    </row>
    <row r="43" spans="1:8" x14ac:dyDescent="0.25">
      <c r="A43" t="s">
        <v>167</v>
      </c>
      <c r="B43" t="s">
        <v>101</v>
      </c>
      <c r="C43" t="s">
        <v>102</v>
      </c>
      <c r="D43" s="6">
        <v>9</v>
      </c>
      <c r="E43" s="6">
        <v>9</v>
      </c>
      <c r="F43" s="6">
        <v>9</v>
      </c>
      <c r="G43" t="s">
        <v>168</v>
      </c>
      <c r="H43" t="s">
        <v>59</v>
      </c>
    </row>
    <row r="44" spans="1:8" x14ac:dyDescent="0.25">
      <c r="A44" t="s">
        <v>169</v>
      </c>
      <c r="B44" t="s">
        <v>101</v>
      </c>
      <c r="C44" t="s">
        <v>102</v>
      </c>
      <c r="D44" s="6">
        <v>18</v>
      </c>
      <c r="E44" s="6">
        <v>18</v>
      </c>
      <c r="F44" s="6">
        <v>17</v>
      </c>
      <c r="G44" t="s">
        <v>168</v>
      </c>
      <c r="H44" t="s">
        <v>59</v>
      </c>
    </row>
    <row r="45" spans="1:8" x14ac:dyDescent="0.25">
      <c r="A45" t="s">
        <v>221</v>
      </c>
      <c r="B45" t="s">
        <v>14</v>
      </c>
      <c r="C45" t="s">
        <v>102</v>
      </c>
      <c r="D45" s="6">
        <v>33.33</v>
      </c>
      <c r="E45" s="6">
        <v>33.33</v>
      </c>
      <c r="F45" s="6">
        <v>33.33</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66.67</v>
      </c>
      <c r="E47" s="6">
        <v>66.67</v>
      </c>
      <c r="F47" s="6">
        <v>66.67</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32">
        <v>3.7037E-2</v>
      </c>
      <c r="E50" s="32">
        <v>0</v>
      </c>
      <c r="F50" s="32">
        <v>3.8462000000000003E-2</v>
      </c>
      <c r="G50" t="s">
        <v>191</v>
      </c>
      <c r="H50" t="s">
        <v>194</v>
      </c>
    </row>
    <row r="51" spans="1:8" x14ac:dyDescent="0.25">
      <c r="A51" t="s">
        <v>195</v>
      </c>
      <c r="B51" t="s">
        <v>196</v>
      </c>
      <c r="C51" t="s">
        <v>176</v>
      </c>
      <c r="D51" s="6">
        <v>0</v>
      </c>
      <c r="E51" s="6">
        <v>37037.037037037</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0.111</v>
      </c>
      <c r="F54" s="6">
        <v>0</v>
      </c>
      <c r="G54" t="s">
        <v>205</v>
      </c>
      <c r="H54" t="s">
        <v>59</v>
      </c>
    </row>
    <row r="55" spans="1:8" x14ac:dyDescent="0.25">
      <c r="A55" t="s">
        <v>206</v>
      </c>
      <c r="B55" t="s">
        <v>207</v>
      </c>
      <c r="C55" t="s">
        <v>176</v>
      </c>
      <c r="D55" s="6">
        <v>0</v>
      </c>
      <c r="E55" s="6">
        <v>0.222</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4.9054675523760896</v>
      </c>
      <c r="E58" s="9">
        <v>4.6572475143903702</v>
      </c>
      <c r="F58" s="9">
        <v>5.1682106289614804</v>
      </c>
      <c r="G58" t="s">
        <v>59</v>
      </c>
      <c r="H58" t="s">
        <v>213</v>
      </c>
    </row>
    <row r="59" spans="1:8" x14ac:dyDescent="0.25">
      <c r="A59" t="s">
        <v>214</v>
      </c>
      <c r="B59" t="s">
        <v>14</v>
      </c>
      <c r="C59" t="s">
        <v>15</v>
      </c>
      <c r="D59" s="5">
        <v>2.04394481349004</v>
      </c>
      <c r="E59" s="5">
        <v>2.72108843537415</v>
      </c>
      <c r="F59" s="5">
        <v>2.2428083861530999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[1]内分泌内科!$O$4</f>
        <v>2型糖尿病及并发症</v>
      </c>
      <c r="E72" s="10" t="str">
        <f>[1]内分泌内科!$I$4</f>
        <v>2型糖尿病及并发症</v>
      </c>
      <c r="F72" s="10" t="str">
        <f>[1]内分泌内科!$C$4</f>
        <v>2型糖尿病及并发症</v>
      </c>
      <c r="G72" t="s">
        <v>59</v>
      </c>
      <c r="H72" t="s">
        <v>59</v>
      </c>
    </row>
    <row r="73" spans="1:8" x14ac:dyDescent="0.25">
      <c r="A73" t="s">
        <v>241</v>
      </c>
      <c r="B73" t="s">
        <v>59</v>
      </c>
      <c r="C73" t="s">
        <v>90</v>
      </c>
      <c r="D73" s="10" t="str">
        <f>[1]内分泌内科!$N$4</f>
        <v>E11</v>
      </c>
      <c r="E73" s="10" t="str">
        <f>[1]内分泌内科!$H$4</f>
        <v>E11</v>
      </c>
      <c r="F73" s="10" t="str">
        <f>[1]内分泌内科!$B$4</f>
        <v>E11</v>
      </c>
      <c r="G73" t="s">
        <v>59</v>
      </c>
      <c r="H73" t="s">
        <v>59</v>
      </c>
    </row>
    <row r="74" spans="1:8" x14ac:dyDescent="0.25">
      <c r="A74" t="s">
        <v>242</v>
      </c>
      <c r="B74" t="s">
        <v>14</v>
      </c>
      <c r="C74" t="s">
        <v>90</v>
      </c>
      <c r="D74" s="10">
        <f>[1]内分泌内科!$Q$4</f>
        <v>82.217680122636693</v>
      </c>
      <c r="E74" s="10">
        <f>[1]内分泌内科!$K$4</f>
        <v>82.4699110413396</v>
      </c>
      <c r="F74" s="10">
        <f>[1]内分泌内科!$E$4</f>
        <v>82.203803022915693</v>
      </c>
      <c r="G74" t="s">
        <v>59</v>
      </c>
      <c r="H74" t="s">
        <v>59</v>
      </c>
    </row>
    <row r="75" spans="1:8" x14ac:dyDescent="0.25">
      <c r="A75" t="s">
        <v>243</v>
      </c>
      <c r="B75" t="s">
        <v>59</v>
      </c>
      <c r="C75" t="s">
        <v>90</v>
      </c>
      <c r="D75" s="10" t="str">
        <f>[1]内分泌内科!$O$5</f>
        <v>甲状腺毒症[甲状腺功能亢进症]</v>
      </c>
      <c r="E75" s="10" t="str">
        <f>[1]内分泌内科!$I$5</f>
        <v>甲状腺毒症[甲状腺功能亢进症]</v>
      </c>
      <c r="F75" s="10" t="str">
        <f>[1]内分泌内科!$C$5</f>
        <v>甲状腺毒症[甲状腺功能亢进症]</v>
      </c>
      <c r="G75" t="s">
        <v>59</v>
      </c>
      <c r="H75" t="s">
        <v>59</v>
      </c>
    </row>
    <row r="76" spans="1:8" x14ac:dyDescent="0.25">
      <c r="A76" t="s">
        <v>244</v>
      </c>
      <c r="B76" t="s">
        <v>59</v>
      </c>
      <c r="C76" t="s">
        <v>90</v>
      </c>
      <c r="D76" s="10" t="str">
        <f>[1]内分泌内科!$N$5</f>
        <v>E05</v>
      </c>
      <c r="E76" s="10" t="str">
        <f>[1]内分泌内科!$H$5</f>
        <v>E05</v>
      </c>
      <c r="F76" s="10" t="str">
        <f>[1]内分泌内科!$B$5</f>
        <v>E05</v>
      </c>
      <c r="G76" t="s">
        <v>59</v>
      </c>
      <c r="H76" t="s">
        <v>59</v>
      </c>
    </row>
    <row r="77" spans="1:8" x14ac:dyDescent="0.25">
      <c r="A77" t="s">
        <v>245</v>
      </c>
      <c r="B77" t="s">
        <v>14</v>
      </c>
      <c r="C77" t="s">
        <v>90</v>
      </c>
      <c r="D77" s="10">
        <f>[1]内分泌内科!$Q$5</f>
        <v>4.9565661727133401</v>
      </c>
      <c r="E77" s="10">
        <f>[1]内分泌内科!$K$5</f>
        <v>5.2851909994767103</v>
      </c>
      <c r="F77" s="10">
        <f>[1]内分泌内科!$E$5</f>
        <v>6.0945880058508104</v>
      </c>
      <c r="G77" t="s">
        <v>59</v>
      </c>
      <c r="H77" t="s">
        <v>59</v>
      </c>
    </row>
    <row r="78" spans="1:8" x14ac:dyDescent="0.25">
      <c r="A78" t="s">
        <v>246</v>
      </c>
      <c r="B78" t="s">
        <v>59</v>
      </c>
      <c r="C78" t="s">
        <v>90</v>
      </c>
      <c r="D78" s="10" t="str">
        <f>[1]内分泌内科!$O$6</f>
        <v>1型糖尿病及并发症</v>
      </c>
      <c r="E78" s="10" t="str">
        <f>[1]内分泌内科!$I$6</f>
        <v>甲状腺炎</v>
      </c>
      <c r="F78" s="10" t="str">
        <f>[1]内分泌内科!$C$6</f>
        <v>甲状腺炎</v>
      </c>
      <c r="G78" t="s">
        <v>59</v>
      </c>
      <c r="H78" t="s">
        <v>59</v>
      </c>
    </row>
    <row r="79" spans="1:8" x14ac:dyDescent="0.25">
      <c r="A79" t="s">
        <v>247</v>
      </c>
      <c r="B79" t="s">
        <v>59</v>
      </c>
      <c r="C79" t="s">
        <v>90</v>
      </c>
      <c r="D79" s="10" t="str">
        <f>[1]内分泌内科!$N$6</f>
        <v>E10</v>
      </c>
      <c r="E79" s="10" t="str">
        <f>[1]内分泌内科!$H$6</f>
        <v>E06</v>
      </c>
      <c r="F79" s="10" t="str">
        <f>[1]内分泌内科!$B$6</f>
        <v>E06</v>
      </c>
      <c r="G79" t="s">
        <v>59</v>
      </c>
      <c r="H79" t="s">
        <v>59</v>
      </c>
    </row>
    <row r="80" spans="1:8" x14ac:dyDescent="0.25">
      <c r="A80" t="s">
        <v>248</v>
      </c>
      <c r="B80" t="s">
        <v>14</v>
      </c>
      <c r="C80" t="s">
        <v>90</v>
      </c>
      <c r="D80" s="10">
        <f>[1]内分泌内科!$Q$6</f>
        <v>2.86152273888605</v>
      </c>
      <c r="E80" s="10">
        <f>[1]内分泌内科!$K$6</f>
        <v>2.0931449502878099</v>
      </c>
      <c r="F80" s="10">
        <f>[1]内分泌内科!$E$6</f>
        <v>2.7791321306679699</v>
      </c>
      <c r="G80" t="s">
        <v>59</v>
      </c>
      <c r="H80" t="s">
        <v>59</v>
      </c>
    </row>
    <row r="81" spans="1:8" x14ac:dyDescent="0.25">
      <c r="A81" t="s">
        <v>249</v>
      </c>
      <c r="B81" t="s">
        <v>59</v>
      </c>
      <c r="C81" t="s">
        <v>90</v>
      </c>
      <c r="D81" s="10" t="str">
        <f>[1]内分泌内科!$O$7</f>
        <v>甲状腺炎</v>
      </c>
      <c r="E81" s="10" t="str">
        <f>[1]内分泌内科!$I$7</f>
        <v>1型糖尿病及并发症</v>
      </c>
      <c r="F81" s="10" t="str">
        <f>[1]内分泌内科!$C$7</f>
        <v>1型糖尿病及并发症</v>
      </c>
      <c r="G81" t="s">
        <v>59</v>
      </c>
      <c r="H81" t="s">
        <v>59</v>
      </c>
    </row>
    <row r="82" spans="1:8" x14ac:dyDescent="0.25">
      <c r="A82" t="s">
        <v>250</v>
      </c>
      <c r="B82" t="s">
        <v>59</v>
      </c>
      <c r="C82" t="s">
        <v>90</v>
      </c>
      <c r="D82" s="10" t="str">
        <f>[1]内分泌内科!$N$7</f>
        <v>E06</v>
      </c>
      <c r="E82" s="10" t="str">
        <f>[1]内分泌内科!$H$7</f>
        <v>E10</v>
      </c>
      <c r="F82" s="10" t="str">
        <f>[1]内分泌内科!$B$7</f>
        <v>E10</v>
      </c>
      <c r="G82" t="s">
        <v>59</v>
      </c>
      <c r="H82" t="s">
        <v>59</v>
      </c>
    </row>
    <row r="83" spans="1:8" x14ac:dyDescent="0.25">
      <c r="A83" t="s">
        <v>251</v>
      </c>
      <c r="B83" t="s">
        <v>14</v>
      </c>
      <c r="C83" t="s">
        <v>90</v>
      </c>
      <c r="D83" s="10">
        <f>[1]内分泌内科!$Q$7</f>
        <v>1.5329586101175301</v>
      </c>
      <c r="E83" s="10">
        <f>[1]内分泌内科!$K$7</f>
        <v>2.0931449502878099</v>
      </c>
      <c r="F83" s="10">
        <f>[1]内分泌内科!$E$7</f>
        <v>1.85275475377864</v>
      </c>
      <c r="G83" t="s">
        <v>59</v>
      </c>
      <c r="H83" t="s">
        <v>59</v>
      </c>
    </row>
    <row r="84" spans="1:8" x14ac:dyDescent="0.25">
      <c r="A84" t="s">
        <v>252</v>
      </c>
      <c r="B84" t="s">
        <v>59</v>
      </c>
      <c r="C84" t="s">
        <v>90</v>
      </c>
      <c r="D84" s="10" t="str">
        <f>[1]内分泌内科!$O$8</f>
        <v>败血症</v>
      </c>
      <c r="E84" s="10" t="str">
        <f>[1]内分泌内科!$I$8</f>
        <v>垂体功能减退和疾患</v>
      </c>
      <c r="F84" s="10" t="str">
        <f>[1]内分泌内科!$C$8</f>
        <v>甲状腺功能减退症</v>
      </c>
      <c r="G84" t="s">
        <v>59</v>
      </c>
      <c r="H84" t="s">
        <v>59</v>
      </c>
    </row>
    <row r="85" spans="1:8" x14ac:dyDescent="0.25">
      <c r="A85" t="s">
        <v>253</v>
      </c>
      <c r="B85" t="s">
        <v>59</v>
      </c>
      <c r="C85" t="s">
        <v>90</v>
      </c>
      <c r="D85" s="10" t="str">
        <f>[1]内分泌内科!$N$8</f>
        <v>A41</v>
      </c>
      <c r="E85" s="10" t="str">
        <f>[1]内分泌内科!$H$8</f>
        <v>E23</v>
      </c>
      <c r="F85" s="10" t="str">
        <f>[1]内分泌内科!$B$8</f>
        <v>E03</v>
      </c>
      <c r="G85" t="s">
        <v>59</v>
      </c>
      <c r="H85" t="s">
        <v>59</v>
      </c>
    </row>
    <row r="86" spans="1:8" x14ac:dyDescent="0.25">
      <c r="A86" t="s">
        <v>254</v>
      </c>
      <c r="B86" t="s">
        <v>14</v>
      </c>
      <c r="C86" t="s">
        <v>90</v>
      </c>
      <c r="D86" s="10">
        <f>[1]内分泌内科!$Q$8</f>
        <v>0.970873786407767</v>
      </c>
      <c r="E86" s="10">
        <f>[1]内分泌内科!$K$8</f>
        <v>0.68027210884353695</v>
      </c>
      <c r="F86" s="10">
        <f>[1]内分泌内科!$E$8</f>
        <v>1.0726474890297399</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01"/>
  <sheetViews>
    <sheetView topLeftCell="A13"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71.847847074724797</v>
      </c>
      <c r="E2" s="5">
        <v>74.823477493380395</v>
      </c>
      <c r="F2" s="5">
        <v>77.0262390670554</v>
      </c>
      <c r="G2" t="s">
        <v>16</v>
      </c>
      <c r="H2" t="s">
        <v>17</v>
      </c>
    </row>
    <row r="3" spans="1:8" x14ac:dyDescent="0.25">
      <c r="A3" t="s">
        <v>18</v>
      </c>
      <c r="B3" t="s">
        <v>14</v>
      </c>
      <c r="C3" t="s">
        <v>15</v>
      </c>
      <c r="D3" s="5">
        <v>2.6874496103198101E-2</v>
      </c>
      <c r="E3" s="5">
        <v>0</v>
      </c>
      <c r="F3" s="5">
        <v>0</v>
      </c>
      <c r="G3" t="s">
        <v>19</v>
      </c>
      <c r="H3" t="s">
        <v>20</v>
      </c>
    </row>
    <row r="4" spans="1:8" x14ac:dyDescent="0.25">
      <c r="A4" t="s">
        <v>21</v>
      </c>
      <c r="B4" t="s">
        <v>14</v>
      </c>
      <c r="C4" t="s">
        <v>15</v>
      </c>
      <c r="D4" s="5">
        <v>19.027143241064199</v>
      </c>
      <c r="E4" s="5">
        <v>16.720731347685</v>
      </c>
      <c r="F4" s="5">
        <v>13.525107241988399</v>
      </c>
      <c r="G4" t="s">
        <v>22</v>
      </c>
      <c r="H4" t="s">
        <v>23</v>
      </c>
    </row>
    <row r="5" spans="1:8" x14ac:dyDescent="0.25">
      <c r="A5" t="s">
        <v>24</v>
      </c>
      <c r="B5" t="s">
        <v>14</v>
      </c>
      <c r="C5" t="s">
        <v>15</v>
      </c>
      <c r="D5" s="6">
        <v>92.64</v>
      </c>
      <c r="E5" s="6">
        <v>89.12</v>
      </c>
      <c r="F5" s="6">
        <v>88.14</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v>
      </c>
      <c r="E10" s="6">
        <v>0</v>
      </c>
      <c r="F10" s="6">
        <v>0.04</v>
      </c>
      <c r="G10" t="s">
        <v>58</v>
      </c>
      <c r="H10" t="s">
        <v>59</v>
      </c>
    </row>
    <row r="11" spans="1:8" x14ac:dyDescent="0.25">
      <c r="A11" t="s">
        <v>63</v>
      </c>
      <c r="B11" t="s">
        <v>64</v>
      </c>
      <c r="C11" t="s">
        <v>61</v>
      </c>
      <c r="D11" s="5">
        <v>12.4710196020069</v>
      </c>
      <c r="E11" s="5">
        <v>8.8043642815753191</v>
      </c>
      <c r="F11" s="5">
        <v>12.168391902176699</v>
      </c>
      <c r="G11" t="s">
        <v>35</v>
      </c>
      <c r="H11" t="s">
        <v>65</v>
      </c>
    </row>
    <row r="12" spans="1:8" x14ac:dyDescent="0.25">
      <c r="A12" t="s">
        <v>66</v>
      </c>
      <c r="B12" t="s">
        <v>14</v>
      </c>
      <c r="C12" t="s">
        <v>61</v>
      </c>
      <c r="D12" s="6">
        <v>35.78</v>
      </c>
      <c r="E12" s="6">
        <v>21.63</v>
      </c>
      <c r="F12" s="6">
        <v>27.11</v>
      </c>
      <c r="G12" t="s">
        <v>39</v>
      </c>
      <c r="H12" t="s">
        <v>67</v>
      </c>
    </row>
    <row r="13" spans="1:8" x14ac:dyDescent="0.25">
      <c r="A13" t="s">
        <v>68</v>
      </c>
      <c r="B13" t="s">
        <v>14</v>
      </c>
      <c r="C13" t="s">
        <v>61</v>
      </c>
      <c r="D13" s="6">
        <v>98.21</v>
      </c>
      <c r="E13" s="6">
        <v>97.99</v>
      </c>
      <c r="F13" s="6">
        <v>96.99</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2.61</v>
      </c>
      <c r="E15" s="6">
        <v>3.04</v>
      </c>
      <c r="F15" s="6">
        <v>3.47</v>
      </c>
      <c r="G15" t="s">
        <v>93</v>
      </c>
      <c r="H15" t="s">
        <v>94</v>
      </c>
    </row>
    <row r="16" spans="1:8" x14ac:dyDescent="0.25">
      <c r="A16" t="s">
        <v>95</v>
      </c>
      <c r="B16" t="s">
        <v>59</v>
      </c>
      <c r="C16" t="s">
        <v>34</v>
      </c>
      <c r="D16" s="6">
        <v>0.57999999999999996</v>
      </c>
      <c r="E16" s="6">
        <v>0.57999999999999996</v>
      </c>
      <c r="F16" s="6">
        <v>0.63</v>
      </c>
      <c r="G16" t="s">
        <v>96</v>
      </c>
      <c r="H16" t="s">
        <v>59</v>
      </c>
    </row>
    <row r="17" spans="1:8" x14ac:dyDescent="0.25">
      <c r="A17" t="s">
        <v>97</v>
      </c>
      <c r="B17" t="s">
        <v>98</v>
      </c>
      <c r="C17" t="s">
        <v>34</v>
      </c>
      <c r="D17" s="6">
        <v>45</v>
      </c>
      <c r="E17" s="6">
        <v>32</v>
      </c>
      <c r="F17" s="6">
        <v>41</v>
      </c>
      <c r="G17" t="s">
        <v>99</v>
      </c>
      <c r="H17" t="s">
        <v>59</v>
      </c>
    </row>
    <row r="18" spans="1:8" x14ac:dyDescent="0.25">
      <c r="A18" t="s">
        <v>104</v>
      </c>
      <c r="B18" t="s">
        <v>105</v>
      </c>
      <c r="C18" t="s">
        <v>15</v>
      </c>
      <c r="D18" s="6">
        <v>37</v>
      </c>
      <c r="E18" s="6">
        <v>37</v>
      </c>
      <c r="F18" s="6">
        <v>37</v>
      </c>
      <c r="G18" t="s">
        <v>58</v>
      </c>
      <c r="H18" t="s">
        <v>59</v>
      </c>
    </row>
    <row r="19" spans="1:8" x14ac:dyDescent="0.25">
      <c r="A19" t="s">
        <v>106</v>
      </c>
      <c r="B19" t="s">
        <v>105</v>
      </c>
      <c r="C19" t="s">
        <v>15</v>
      </c>
      <c r="D19" s="6">
        <v>52</v>
      </c>
      <c r="E19" s="6">
        <v>37</v>
      </c>
      <c r="F19" s="6">
        <v>63</v>
      </c>
      <c r="G19" t="s">
        <v>58</v>
      </c>
      <c r="H19" t="s">
        <v>59</v>
      </c>
    </row>
    <row r="20" spans="1:8" x14ac:dyDescent="0.25">
      <c r="A20" t="s">
        <v>107</v>
      </c>
      <c r="B20" t="s">
        <v>14</v>
      </c>
      <c r="C20" t="s">
        <v>15</v>
      </c>
      <c r="D20" s="6">
        <v>78.25</v>
      </c>
      <c r="E20" s="6">
        <v>72.47</v>
      </c>
      <c r="F20" s="6">
        <v>78.510000000000005</v>
      </c>
      <c r="G20" t="s">
        <v>58</v>
      </c>
      <c r="H20" t="s">
        <v>108</v>
      </c>
    </row>
    <row r="21" spans="1:8" x14ac:dyDescent="0.25">
      <c r="A21" t="s">
        <v>112</v>
      </c>
      <c r="B21" t="s">
        <v>59</v>
      </c>
      <c r="C21" t="s">
        <v>102</v>
      </c>
      <c r="D21" s="5">
        <f t="shared" ref="D21:F21" si="0">D43/D19</f>
        <v>0.25</v>
      </c>
      <c r="E21" s="5">
        <f t="shared" si="0"/>
        <v>0.32432432432432434</v>
      </c>
      <c r="F21" s="5">
        <f t="shared" si="0"/>
        <v>0.20634920634920634</v>
      </c>
      <c r="G21" t="s">
        <v>110</v>
      </c>
      <c r="H21" t="s">
        <v>113</v>
      </c>
    </row>
    <row r="22" spans="1:8" x14ac:dyDescent="0.25">
      <c r="A22" t="s">
        <v>114</v>
      </c>
      <c r="B22" t="s">
        <v>59</v>
      </c>
      <c r="C22" t="s">
        <v>102</v>
      </c>
      <c r="D22" s="5">
        <f t="shared" ref="D22:F22" si="1">D44/D19</f>
        <v>0.67307692307692313</v>
      </c>
      <c r="E22" s="5">
        <f t="shared" si="1"/>
        <v>0.97297297297297303</v>
      </c>
      <c r="F22" s="5">
        <f t="shared" si="1"/>
        <v>0.5714285714285714</v>
      </c>
      <c r="G22" t="s">
        <v>110</v>
      </c>
      <c r="H22" t="s">
        <v>115</v>
      </c>
    </row>
    <row r="23" spans="1:8" x14ac:dyDescent="0.25">
      <c r="A23" t="s">
        <v>116</v>
      </c>
      <c r="B23" t="s">
        <v>117</v>
      </c>
      <c r="C23" t="s">
        <v>118</v>
      </c>
      <c r="D23" s="5">
        <v>45.763280000000002</v>
      </c>
      <c r="E23" s="5">
        <v>34.565089843750002</v>
      </c>
      <c r="F23" s="5">
        <v>42.174645578947398</v>
      </c>
      <c r="G23" t="s">
        <v>119</v>
      </c>
      <c r="H23" t="s">
        <v>59</v>
      </c>
    </row>
    <row r="24" spans="1:8" x14ac:dyDescent="0.25">
      <c r="A24" t="s">
        <v>120</v>
      </c>
      <c r="B24" t="s">
        <v>117</v>
      </c>
      <c r="C24" t="s">
        <v>118</v>
      </c>
      <c r="D24" s="5">
        <v>68.202688885245905</v>
      </c>
      <c r="E24" s="5">
        <v>52.030318937499999</v>
      </c>
      <c r="F24" s="5">
        <v>60.147650315789498</v>
      </c>
      <c r="G24" t="s">
        <v>121</v>
      </c>
      <c r="H24" t="s">
        <v>59</v>
      </c>
    </row>
    <row r="25" spans="1:8" x14ac:dyDescent="0.25">
      <c r="A25" t="s">
        <v>122</v>
      </c>
      <c r="B25" t="s">
        <v>117</v>
      </c>
      <c r="C25" t="s">
        <v>118</v>
      </c>
      <c r="D25" s="5">
        <v>59.306566390482303</v>
      </c>
      <c r="E25" s="5">
        <v>42.435560138116202</v>
      </c>
      <c r="F25" s="5">
        <v>38.1580126666667</v>
      </c>
      <c r="G25" t="s">
        <v>123</v>
      </c>
      <c r="H25" t="s">
        <v>59</v>
      </c>
    </row>
    <row r="26" spans="1:8" x14ac:dyDescent="0.25">
      <c r="A26" t="s">
        <v>124</v>
      </c>
      <c r="B26" t="s">
        <v>117</v>
      </c>
      <c r="C26" t="s">
        <v>118</v>
      </c>
      <c r="D26" s="5">
        <v>88.386743615891206</v>
      </c>
      <c r="E26" s="5">
        <v>63.8776215614809</v>
      </c>
      <c r="F26" s="5">
        <v>54.419302666666702</v>
      </c>
      <c r="G26" t="s">
        <v>125</v>
      </c>
      <c r="H26" t="s">
        <v>59</v>
      </c>
    </row>
    <row r="27" spans="1:8" x14ac:dyDescent="0.25">
      <c r="A27" t="s">
        <v>126</v>
      </c>
      <c r="B27" t="s">
        <v>127</v>
      </c>
      <c r="C27" t="s">
        <v>118</v>
      </c>
      <c r="D27" s="5">
        <v>2.83308746048472</v>
      </c>
      <c r="E27" s="5">
        <v>3.1570776255707802</v>
      </c>
      <c r="F27" s="5">
        <v>3.8046364594309798</v>
      </c>
      <c r="G27" t="s">
        <v>39</v>
      </c>
      <c r="H27" t="s">
        <v>128</v>
      </c>
    </row>
    <row r="28" spans="1:8" x14ac:dyDescent="0.25">
      <c r="A28" t="s">
        <v>129</v>
      </c>
      <c r="B28" t="s">
        <v>14</v>
      </c>
      <c r="C28" t="s">
        <v>118</v>
      </c>
      <c r="D28" s="5">
        <v>48.1543753979672</v>
      </c>
      <c r="E28" s="5">
        <v>47.847260767857598</v>
      </c>
      <c r="F28" s="5">
        <v>49.821126781820702</v>
      </c>
      <c r="G28" t="s">
        <v>130</v>
      </c>
      <c r="H28" t="s">
        <v>131</v>
      </c>
    </row>
    <row r="29" spans="1:8" x14ac:dyDescent="0.25">
      <c r="A29" t="s">
        <v>132</v>
      </c>
      <c r="B29" t="s">
        <v>117</v>
      </c>
      <c r="C29" t="s">
        <v>118</v>
      </c>
      <c r="D29" s="5">
        <v>5797.1057810000002</v>
      </c>
      <c r="E29" s="5">
        <v>4623.3905860000004</v>
      </c>
      <c r="F29" s="5">
        <v>4825.1714750000001</v>
      </c>
      <c r="G29" t="s">
        <v>59</v>
      </c>
      <c r="H29" t="s">
        <v>133</v>
      </c>
    </row>
    <row r="30" spans="1:8" x14ac:dyDescent="0.25">
      <c r="A30" t="s">
        <v>134</v>
      </c>
      <c r="B30" t="s">
        <v>117</v>
      </c>
      <c r="C30" t="s">
        <v>118</v>
      </c>
      <c r="D30" s="5">
        <v>2791.5600800000002</v>
      </c>
      <c r="E30" s="5">
        <v>2212.1657500000001</v>
      </c>
      <c r="F30" s="5">
        <v>2403.9547980000002</v>
      </c>
      <c r="G30" t="s">
        <v>59</v>
      </c>
      <c r="H30" t="s">
        <v>59</v>
      </c>
    </row>
    <row r="31" spans="1:8" x14ac:dyDescent="0.25">
      <c r="A31" t="s">
        <v>135</v>
      </c>
      <c r="B31" t="s">
        <v>117</v>
      </c>
      <c r="C31" t="s">
        <v>118</v>
      </c>
      <c r="D31" s="5">
        <v>4160.3640219999997</v>
      </c>
      <c r="E31" s="5">
        <v>3329.9404119999999</v>
      </c>
      <c r="F31" s="5">
        <v>3428.416068</v>
      </c>
      <c r="G31" t="s">
        <v>59</v>
      </c>
      <c r="H31" t="s">
        <v>136</v>
      </c>
    </row>
    <row r="32" spans="1:8" x14ac:dyDescent="0.25">
      <c r="A32" t="s">
        <v>216</v>
      </c>
      <c r="B32" t="s">
        <v>117</v>
      </c>
      <c r="D32" s="17">
        <v>3910.84</v>
      </c>
      <c r="E32" s="17">
        <v>3032.02</v>
      </c>
      <c r="F32" s="17">
        <v>3238.77</v>
      </c>
    </row>
    <row r="33" spans="1:8" x14ac:dyDescent="0.25">
      <c r="A33" t="s">
        <v>143</v>
      </c>
      <c r="B33" t="s">
        <v>14</v>
      </c>
      <c r="D33" s="15">
        <v>10.36</v>
      </c>
      <c r="E33" s="15">
        <v>11.81</v>
      </c>
      <c r="F33" s="15">
        <v>15.02</v>
      </c>
    </row>
    <row r="34" spans="1:8" x14ac:dyDescent="0.25">
      <c r="A34" t="s">
        <v>137</v>
      </c>
      <c r="B34" t="s">
        <v>138</v>
      </c>
      <c r="C34" t="s">
        <v>139</v>
      </c>
      <c r="D34" s="6"/>
      <c r="E34" s="6"/>
      <c r="F34" s="6"/>
      <c r="G34" t="s">
        <v>35</v>
      </c>
      <c r="H34" t="s">
        <v>140</v>
      </c>
    </row>
    <row r="35" spans="1:8" x14ac:dyDescent="0.25">
      <c r="A35" t="s">
        <v>217</v>
      </c>
      <c r="B35" t="s">
        <v>14</v>
      </c>
      <c r="C35" t="s">
        <v>118</v>
      </c>
      <c r="D35" s="5">
        <v>27.433524418553301</v>
      </c>
      <c r="E35" s="5">
        <v>24.033755927191699</v>
      </c>
      <c r="F35" s="5">
        <v>22.006111855330499</v>
      </c>
      <c r="G35" t="s">
        <v>22</v>
      </c>
      <c r="H35" t="s">
        <v>218</v>
      </c>
    </row>
    <row r="36" spans="1:8" x14ac:dyDescent="0.25">
      <c r="A36" t="s">
        <v>219</v>
      </c>
      <c r="B36" t="s">
        <v>14</v>
      </c>
      <c r="C36" t="s">
        <v>118</v>
      </c>
      <c r="D36" s="5">
        <v>72.566475581446696</v>
      </c>
      <c r="E36" s="5">
        <v>75.966244072808294</v>
      </c>
      <c r="F36" s="5">
        <v>77.993888144669498</v>
      </c>
      <c r="G36" t="s">
        <v>22</v>
      </c>
      <c r="H36" t="s">
        <v>220</v>
      </c>
    </row>
    <row r="37" spans="1:8" x14ac:dyDescent="0.25">
      <c r="A37" t="s">
        <v>144</v>
      </c>
      <c r="B37" t="s">
        <v>14</v>
      </c>
      <c r="C37" t="s">
        <v>118</v>
      </c>
      <c r="D37" s="5">
        <v>25.386459853816099</v>
      </c>
      <c r="E37" s="5">
        <v>-4.1818387190063699</v>
      </c>
      <c r="F37" s="5">
        <v>14.5278788925167</v>
      </c>
      <c r="G37" t="s">
        <v>35</v>
      </c>
      <c r="H37" t="s">
        <v>145</v>
      </c>
    </row>
    <row r="38" spans="1:8" x14ac:dyDescent="0.25">
      <c r="A38" t="s">
        <v>146</v>
      </c>
      <c r="B38" t="s">
        <v>14</v>
      </c>
      <c r="C38" t="s">
        <v>118</v>
      </c>
      <c r="D38" s="5">
        <v>20.384626805506802</v>
      </c>
      <c r="E38" s="5">
        <v>16.166494841660199</v>
      </c>
      <c r="F38" s="5">
        <v>-2.72638576005714</v>
      </c>
      <c r="G38" t="s">
        <v>35</v>
      </c>
      <c r="H38" t="s">
        <v>147</v>
      </c>
    </row>
    <row r="39" spans="1:8" x14ac:dyDescent="0.25">
      <c r="A39" t="s">
        <v>148</v>
      </c>
      <c r="B39" t="s">
        <v>14</v>
      </c>
      <c r="C39" t="s">
        <v>118</v>
      </c>
      <c r="D39" s="5">
        <v>5.7781854905050896</v>
      </c>
      <c r="E39" s="5">
        <v>6.7436467916392298</v>
      </c>
      <c r="F39" s="5">
        <v>2.5011541775951001</v>
      </c>
      <c r="G39" t="s">
        <v>35</v>
      </c>
      <c r="H39" t="s">
        <v>149</v>
      </c>
    </row>
    <row r="40" spans="1:8" x14ac:dyDescent="0.25">
      <c r="A40" t="s">
        <v>150</v>
      </c>
      <c r="B40" t="s">
        <v>14</v>
      </c>
      <c r="C40" t="s">
        <v>118</v>
      </c>
      <c r="D40" s="5">
        <v>5.7752143271479603</v>
      </c>
      <c r="E40" s="5">
        <v>-3.3414614691359299</v>
      </c>
      <c r="F40" s="5">
        <v>-32.055752608415098</v>
      </c>
      <c r="G40" t="s">
        <v>35</v>
      </c>
      <c r="H40" t="s">
        <v>151</v>
      </c>
    </row>
    <row r="41" spans="1:8" x14ac:dyDescent="0.25">
      <c r="A41" t="s">
        <v>152</v>
      </c>
      <c r="B41" t="s">
        <v>14</v>
      </c>
      <c r="C41" t="s">
        <v>118</v>
      </c>
      <c r="D41" s="5">
        <v>25.4716038081718</v>
      </c>
      <c r="E41" s="5">
        <v>13.779054657489899</v>
      </c>
      <c r="F41" s="5">
        <v>25.522233405640499</v>
      </c>
      <c r="G41" t="s">
        <v>35</v>
      </c>
      <c r="H41" t="s">
        <v>153</v>
      </c>
    </row>
    <row r="42" spans="1:8" x14ac:dyDescent="0.25">
      <c r="A42" t="s">
        <v>164</v>
      </c>
      <c r="B42" t="s">
        <v>59</v>
      </c>
      <c r="C42" t="s">
        <v>102</v>
      </c>
      <c r="D42" s="6">
        <v>0.37</v>
      </c>
      <c r="E42" s="6">
        <v>0.33</v>
      </c>
      <c r="F42" s="6">
        <v>0.36</v>
      </c>
      <c r="G42" t="s">
        <v>165</v>
      </c>
      <c r="H42" t="s">
        <v>166</v>
      </c>
    </row>
    <row r="43" spans="1:8" x14ac:dyDescent="0.25">
      <c r="A43" t="s">
        <v>167</v>
      </c>
      <c r="B43" t="s">
        <v>101</v>
      </c>
      <c r="C43" t="s">
        <v>102</v>
      </c>
      <c r="D43" s="6">
        <v>13</v>
      </c>
      <c r="E43" s="6">
        <v>12</v>
      </c>
      <c r="F43" s="6">
        <v>13</v>
      </c>
      <c r="G43" t="s">
        <v>168</v>
      </c>
      <c r="H43" t="s">
        <v>59</v>
      </c>
    </row>
    <row r="44" spans="1:8" x14ac:dyDescent="0.25">
      <c r="A44" t="s">
        <v>169</v>
      </c>
      <c r="B44" t="s">
        <v>101</v>
      </c>
      <c r="C44" t="s">
        <v>102</v>
      </c>
      <c r="D44" s="6">
        <v>35</v>
      </c>
      <c r="E44" s="6">
        <v>36</v>
      </c>
      <c r="F44" s="6">
        <v>36</v>
      </c>
      <c r="G44" t="s">
        <v>168</v>
      </c>
      <c r="H44" t="s">
        <v>59</v>
      </c>
    </row>
    <row r="45" spans="1:8" x14ac:dyDescent="0.25">
      <c r="A45" t="s">
        <v>221</v>
      </c>
      <c r="B45" t="s">
        <v>14</v>
      </c>
      <c r="C45" t="s">
        <v>102</v>
      </c>
      <c r="D45" s="6">
        <v>30.77</v>
      </c>
      <c r="E45" s="6">
        <v>33.33</v>
      </c>
      <c r="F45" s="6">
        <v>30.77</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53.85</v>
      </c>
      <c r="E47" s="6">
        <v>50</v>
      </c>
      <c r="F47" s="6">
        <v>53.85</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40816.326530612198</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1.8343309519212201</v>
      </c>
      <c r="E58" s="9">
        <v>2.5595763459841101</v>
      </c>
      <c r="F58" s="9">
        <v>3.0126336248785202</v>
      </c>
      <c r="G58" t="s">
        <v>59</v>
      </c>
      <c r="H58" t="s">
        <v>213</v>
      </c>
    </row>
    <row r="59" spans="1:8" x14ac:dyDescent="0.25">
      <c r="A59" t="s">
        <v>214</v>
      </c>
      <c r="B59" t="s">
        <v>14</v>
      </c>
      <c r="C59" t="s">
        <v>15</v>
      </c>
      <c r="D59" s="11">
        <v>7.7234987449314493E-2</v>
      </c>
      <c r="E59" s="11">
        <v>8.8261253309797005E-2</v>
      </c>
      <c r="F59" s="11">
        <v>0.155490767735666</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[1]眼科!$O$4</f>
        <v>白内障</v>
      </c>
      <c r="E72" s="10" t="str">
        <f>[1]眼科!$I$4</f>
        <v>白内障</v>
      </c>
      <c r="F72" s="10" t="str">
        <f>[1]眼科!$C$4</f>
        <v>白内障</v>
      </c>
      <c r="G72" t="s">
        <v>59</v>
      </c>
      <c r="H72" t="s">
        <v>59</v>
      </c>
    </row>
    <row r="73" spans="1:8" x14ac:dyDescent="0.25">
      <c r="A73" t="s">
        <v>241</v>
      </c>
      <c r="B73" t="s">
        <v>59</v>
      </c>
      <c r="C73" t="s">
        <v>90</v>
      </c>
      <c r="D73" s="10" t="str">
        <f>[1]眼科!$N$4</f>
        <v>h25-h26/E88.906+H28.1*/q12</v>
      </c>
      <c r="E73" s="10" t="str">
        <f>[1]眼科!$H$4</f>
        <v>h25-h26/E88.906+H28.1*/q12</v>
      </c>
      <c r="F73" s="10" t="str">
        <f>[1]眼科!$B$4</f>
        <v>h25-h26/E88.906+H28.1*/q12</v>
      </c>
      <c r="G73" t="s">
        <v>59</v>
      </c>
      <c r="H73" t="s">
        <v>59</v>
      </c>
    </row>
    <row r="74" spans="1:8" x14ac:dyDescent="0.25">
      <c r="A74" t="s">
        <v>242</v>
      </c>
      <c r="B74" t="s">
        <v>14</v>
      </c>
      <c r="C74" t="s">
        <v>90</v>
      </c>
      <c r="D74" s="10">
        <f>[1]眼科!$Q$4</f>
        <v>35.103301795713499</v>
      </c>
      <c r="E74" s="10">
        <f>[1]眼科!$K$4</f>
        <v>39.960282436010601</v>
      </c>
      <c r="F74" s="10">
        <f>[1]眼科!$E$4</f>
        <v>43.6929057337221</v>
      </c>
      <c r="G74" t="s">
        <v>59</v>
      </c>
      <c r="H74" t="s">
        <v>59</v>
      </c>
    </row>
    <row r="75" spans="1:8" x14ac:dyDescent="0.25">
      <c r="A75" t="s">
        <v>243</v>
      </c>
      <c r="B75" t="s">
        <v>59</v>
      </c>
      <c r="C75" t="s">
        <v>90</v>
      </c>
      <c r="D75" s="10" t="str">
        <f>[1]眼科!$O$5</f>
        <v>2型糖尿病性视网膜病变</v>
      </c>
      <c r="E75" s="10" t="str">
        <f>[1]眼科!$I$5</f>
        <v>2型糖尿病性视网膜病变</v>
      </c>
      <c r="F75" s="10" t="str">
        <f>[1]眼科!$C$5</f>
        <v>视网膜的变性</v>
      </c>
      <c r="G75" t="s">
        <v>59</v>
      </c>
      <c r="H75" t="s">
        <v>59</v>
      </c>
    </row>
    <row r="76" spans="1:8" x14ac:dyDescent="0.25">
      <c r="A76" t="s">
        <v>244</v>
      </c>
      <c r="B76" t="s">
        <v>59</v>
      </c>
      <c r="C76" t="s">
        <v>90</v>
      </c>
      <c r="D76" s="10" t="str">
        <f>[1]眼科!$N$5</f>
        <v>E11.301+H36.0*</v>
      </c>
      <c r="E76" s="10" t="str">
        <f>[1]眼科!$H$5</f>
        <v>E11.301+H36.0*</v>
      </c>
      <c r="F76" s="10" t="str">
        <f>[1]眼科!$B$5</f>
        <v>H35</v>
      </c>
      <c r="G76" t="s">
        <v>59</v>
      </c>
      <c r="H76" t="s">
        <v>59</v>
      </c>
    </row>
    <row r="77" spans="1:8" x14ac:dyDescent="0.25">
      <c r="A77" t="s">
        <v>245</v>
      </c>
      <c r="B77" t="s">
        <v>14</v>
      </c>
      <c r="C77" t="s">
        <v>90</v>
      </c>
      <c r="D77" s="10">
        <f>[1]眼科!$Q$5</f>
        <v>10.542575786831399</v>
      </c>
      <c r="E77" s="10">
        <f>[1]眼科!$K$5</f>
        <v>8.2303618711385695</v>
      </c>
      <c r="F77" s="10">
        <f>[1]眼科!$E$5</f>
        <v>7.40524781341108</v>
      </c>
      <c r="G77" t="s">
        <v>59</v>
      </c>
      <c r="H77" t="s">
        <v>59</v>
      </c>
    </row>
    <row r="78" spans="1:8" x14ac:dyDescent="0.25">
      <c r="A78" t="s">
        <v>246</v>
      </c>
      <c r="B78" t="s">
        <v>59</v>
      </c>
      <c r="C78" t="s">
        <v>90</v>
      </c>
      <c r="D78" s="10" t="str">
        <f>[1]眼科!$O$6</f>
        <v>视网膜的变性</v>
      </c>
      <c r="E78" s="10" t="str">
        <f>[1]眼科!$I$6</f>
        <v>视网膜的变性</v>
      </c>
      <c r="F78" s="10" t="str">
        <f>[1]眼科!$C$6</f>
        <v>翼状胬肉</v>
      </c>
      <c r="G78" t="s">
        <v>59</v>
      </c>
      <c r="H78" t="s">
        <v>59</v>
      </c>
    </row>
    <row r="79" spans="1:8" x14ac:dyDescent="0.25">
      <c r="A79" t="s">
        <v>247</v>
      </c>
      <c r="B79" t="s">
        <v>59</v>
      </c>
      <c r="C79" t="s">
        <v>90</v>
      </c>
      <c r="D79" s="10" t="str">
        <f>[1]眼科!$N$6</f>
        <v>H35</v>
      </c>
      <c r="E79" s="10" t="str">
        <f>[1]眼科!$H$6</f>
        <v>H35</v>
      </c>
      <c r="F79" s="10" t="str">
        <f>[1]眼科!$B$6</f>
        <v>H11.0</v>
      </c>
      <c r="G79" t="s">
        <v>59</v>
      </c>
      <c r="H79" t="s">
        <v>59</v>
      </c>
    </row>
    <row r="80" spans="1:8" x14ac:dyDescent="0.25">
      <c r="A80" t="s">
        <v>248</v>
      </c>
      <c r="B80" t="s">
        <v>14</v>
      </c>
      <c r="C80" t="s">
        <v>90</v>
      </c>
      <c r="D80" s="10">
        <f>[1]眼科!$Q$6</f>
        <v>9.4033597219540397</v>
      </c>
      <c r="E80" s="10">
        <f>[1]眼科!$K$6</f>
        <v>8.1641659311562194</v>
      </c>
      <c r="F80" s="10">
        <f>[1]眼科!$E$6</f>
        <v>6.6083576287657904</v>
      </c>
      <c r="G80" t="s">
        <v>59</v>
      </c>
      <c r="H80" t="s">
        <v>59</v>
      </c>
    </row>
    <row r="81" spans="1:8" x14ac:dyDescent="0.25">
      <c r="A81" t="s">
        <v>249</v>
      </c>
      <c r="B81" t="s">
        <v>59</v>
      </c>
      <c r="C81" t="s">
        <v>90</v>
      </c>
      <c r="D81" s="10" t="str">
        <f>[1]眼科!$O$7</f>
        <v>翼状胬肉</v>
      </c>
      <c r="E81" s="10" t="str">
        <f>[1]眼科!$I$7</f>
        <v>翼状胬肉</v>
      </c>
      <c r="F81" s="10" t="str">
        <f>[1]眼科!$C$7</f>
        <v>2型糖尿病性视网膜病变</v>
      </c>
      <c r="G81" t="s">
        <v>59</v>
      </c>
      <c r="H81" t="s">
        <v>59</v>
      </c>
    </row>
    <row r="82" spans="1:8" x14ac:dyDescent="0.25">
      <c r="A82" t="s">
        <v>250</v>
      </c>
      <c r="B82" t="s">
        <v>59</v>
      </c>
      <c r="C82" t="s">
        <v>90</v>
      </c>
      <c r="D82" s="10" t="str">
        <f>[1]眼科!$N$7</f>
        <v>H11.0</v>
      </c>
      <c r="E82" s="10" t="str">
        <f>[1]眼科!$H$7</f>
        <v>H11.0</v>
      </c>
      <c r="F82" s="10" t="str">
        <f>[1]眼科!$B$7</f>
        <v>E11.301+H36.0*</v>
      </c>
      <c r="G82" t="s">
        <v>59</v>
      </c>
      <c r="H82" t="s">
        <v>59</v>
      </c>
    </row>
    <row r="83" spans="1:8" x14ac:dyDescent="0.25">
      <c r="A83" t="s">
        <v>251</v>
      </c>
      <c r="B83" t="s">
        <v>14</v>
      </c>
      <c r="C83" t="s">
        <v>90</v>
      </c>
      <c r="D83" s="10">
        <f>[1]眼科!$Q$7</f>
        <v>4.9430391967561302</v>
      </c>
      <c r="E83" s="10">
        <f>[1]眼科!$K$7</f>
        <v>5.6487202118270101</v>
      </c>
      <c r="F83" s="10">
        <f>[1]眼科!$E$7</f>
        <v>4.6647230320699702</v>
      </c>
      <c r="G83" t="s">
        <v>59</v>
      </c>
      <c r="H83" t="s">
        <v>59</v>
      </c>
    </row>
    <row r="84" spans="1:8" x14ac:dyDescent="0.25">
      <c r="A84" t="s">
        <v>252</v>
      </c>
      <c r="B84" t="s">
        <v>59</v>
      </c>
      <c r="C84" t="s">
        <v>90</v>
      </c>
      <c r="D84" s="10" t="str">
        <f>[1]眼科!$O$8</f>
        <v>视网膜脱离和断裂</v>
      </c>
      <c r="E84" s="10" t="str">
        <f>[1]眼科!$I$8</f>
        <v>视网膜脱离</v>
      </c>
      <c r="F84" s="10" t="str">
        <f>[1]眼科!$C$8</f>
        <v>视网膜脱离</v>
      </c>
      <c r="G84" t="s">
        <v>59</v>
      </c>
      <c r="H84" t="s">
        <v>59</v>
      </c>
    </row>
    <row r="85" spans="1:8" x14ac:dyDescent="0.25">
      <c r="A85" t="s">
        <v>253</v>
      </c>
      <c r="B85" t="s">
        <v>59</v>
      </c>
      <c r="C85" t="s">
        <v>90</v>
      </c>
      <c r="D85" s="10" t="str">
        <f>[1]眼科!$N$8</f>
        <v>H33</v>
      </c>
      <c r="E85" s="10" t="str">
        <f>[1]眼科!$H$8</f>
        <v>H33</v>
      </c>
      <c r="F85" s="10" t="str">
        <f>[1]眼科!$B$8</f>
        <v>H33</v>
      </c>
      <c r="G85" t="s">
        <v>59</v>
      </c>
      <c r="H85" t="s">
        <v>59</v>
      </c>
    </row>
    <row r="86" spans="1:8" x14ac:dyDescent="0.25">
      <c r="A86" t="s">
        <v>254</v>
      </c>
      <c r="B86" t="s">
        <v>14</v>
      </c>
      <c r="C86" t="s">
        <v>90</v>
      </c>
      <c r="D86" s="10">
        <f>[1]眼科!$Q$8</f>
        <v>4.4989380189225701</v>
      </c>
      <c r="E86" s="10">
        <f>[1]眼科!$K$8</f>
        <v>4.1924095322153603</v>
      </c>
      <c r="F86" s="10">
        <f>[1]眼科!$E$8</f>
        <v>3.6540330417881401</v>
      </c>
      <c r="G86" t="s">
        <v>59</v>
      </c>
      <c r="H86" t="s">
        <v>59</v>
      </c>
    </row>
    <row r="87" spans="1:8" x14ac:dyDescent="0.25">
      <c r="A87" t="s">
        <v>255</v>
      </c>
      <c r="B87" t="s">
        <v>59</v>
      </c>
      <c r="C87" t="s">
        <v>90</v>
      </c>
      <c r="D87" s="22" t="str">
        <f>[2]眼科!$O$4</f>
        <v>白内障超声乳化抽吸术</v>
      </c>
      <c r="E87" s="22" t="str">
        <f>[2]眼科!$I$4</f>
        <v>晶状体囊外摘除术，经乳化吸出(phaco)</v>
      </c>
      <c r="F87" s="22" t="str">
        <f>[2]眼科!$C$4</f>
        <v>晶状体囊外摘除术，经乳化吸出(phaco)</v>
      </c>
      <c r="G87" t="s">
        <v>59</v>
      </c>
      <c r="H87" t="s">
        <v>59</v>
      </c>
    </row>
    <row r="88" spans="1:8" x14ac:dyDescent="0.25">
      <c r="A88" t="s">
        <v>256</v>
      </c>
      <c r="B88" t="s">
        <v>59</v>
      </c>
      <c r="C88" t="s">
        <v>90</v>
      </c>
      <c r="D88" s="23">
        <f>[2]眼科!$N$4</f>
        <v>13.41</v>
      </c>
      <c r="E88" s="23">
        <f>[2]眼科!$H$4</f>
        <v>13.41</v>
      </c>
      <c r="F88" s="23">
        <f>[2]眼科!$B$4</f>
        <v>13.41</v>
      </c>
      <c r="G88" t="s">
        <v>59</v>
      </c>
      <c r="H88" t="s">
        <v>59</v>
      </c>
    </row>
    <row r="89" spans="1:8" x14ac:dyDescent="0.25">
      <c r="A89" t="s">
        <v>257</v>
      </c>
      <c r="B89" t="s">
        <v>14</v>
      </c>
      <c r="C89" t="s">
        <v>90</v>
      </c>
      <c r="D89" s="24">
        <f>[2]眼科!$Q$4</f>
        <v>48.830959419510897</v>
      </c>
      <c r="E89" s="24">
        <f>[2]眼科!$K$4</f>
        <v>53.111176644057799</v>
      </c>
      <c r="F89" s="24">
        <f>[2]眼科!$E$4</f>
        <v>55.6649003280343</v>
      </c>
      <c r="G89" t="s">
        <v>59</v>
      </c>
      <c r="H89" t="s">
        <v>59</v>
      </c>
    </row>
    <row r="90" spans="1:8" x14ac:dyDescent="0.25">
      <c r="A90" t="s">
        <v>258</v>
      </c>
      <c r="B90" t="s">
        <v>59</v>
      </c>
      <c r="C90" t="s">
        <v>90</v>
      </c>
      <c r="D90" s="25" t="str">
        <f>[2]眼科!$O$5</f>
        <v>后入路玻璃体切割术</v>
      </c>
      <c r="E90" s="25" t="str">
        <f>[2]眼科!$I$5</f>
        <v>视网膜前膜剥离术</v>
      </c>
      <c r="F90" s="25" t="str">
        <f>[2]眼科!$C$5</f>
        <v>翼状胬肉切除伴自体结膜移植术</v>
      </c>
      <c r="G90" t="s">
        <v>59</v>
      </c>
      <c r="H90" t="s">
        <v>59</v>
      </c>
    </row>
    <row r="91" spans="1:8" x14ac:dyDescent="0.25">
      <c r="A91" t="s">
        <v>259</v>
      </c>
      <c r="B91" t="s">
        <v>59</v>
      </c>
      <c r="C91" t="s">
        <v>90</v>
      </c>
      <c r="D91" s="26">
        <f>[2]眼科!$N$5</f>
        <v>14.74</v>
      </c>
      <c r="E91" s="26">
        <f>[2]眼科!$H$5</f>
        <v>14.9</v>
      </c>
      <c r="F91" s="26">
        <f>[2]眼科!$B$5</f>
        <v>11.32</v>
      </c>
      <c r="G91" t="s">
        <v>59</v>
      </c>
      <c r="H91" t="s">
        <v>59</v>
      </c>
    </row>
    <row r="92" spans="1:8" x14ac:dyDescent="0.25">
      <c r="A92" t="s">
        <v>260</v>
      </c>
      <c r="B92" t="s">
        <v>14</v>
      </c>
      <c r="C92" t="s">
        <v>90</v>
      </c>
      <c r="D92" s="24">
        <f>[2]眼科!$Q$5</f>
        <v>13.7866165009406</v>
      </c>
      <c r="E92" s="24">
        <f>[2]眼科!$K$5</f>
        <v>11.618991447950499</v>
      </c>
      <c r="F92" s="24">
        <f>[2]眼科!$E$5</f>
        <v>8.5036588443098697</v>
      </c>
      <c r="G92" t="s">
        <v>59</v>
      </c>
      <c r="H92" t="s">
        <v>59</v>
      </c>
    </row>
    <row r="93" spans="1:8" x14ac:dyDescent="0.25">
      <c r="A93" t="s">
        <v>261</v>
      </c>
      <c r="B93" t="s">
        <v>59</v>
      </c>
      <c r="C93" t="s">
        <v>90</v>
      </c>
      <c r="D93" s="27" t="str">
        <f>[2]眼科!$O$6</f>
        <v>翼状胬肉切除伴结膜移植术</v>
      </c>
      <c r="E93" s="27" t="str">
        <f>[2]眼科!$I$6</f>
        <v>翼状胬肉切除伴自体结膜移植术</v>
      </c>
      <c r="F93" s="27" t="str">
        <f>[2]眼科!$C$6</f>
        <v>视网膜前膜剥离术</v>
      </c>
      <c r="G93" t="s">
        <v>59</v>
      </c>
      <c r="H93" t="s">
        <v>59</v>
      </c>
    </row>
    <row r="94" spans="1:8" x14ac:dyDescent="0.25">
      <c r="A94" t="s">
        <v>262</v>
      </c>
      <c r="B94" t="s">
        <v>59</v>
      </c>
      <c r="C94" t="s">
        <v>90</v>
      </c>
      <c r="D94" s="28">
        <f>[2]眼科!$N$6</f>
        <v>11.39</v>
      </c>
      <c r="E94" s="28">
        <f>[2]眼科!$H$6</f>
        <v>11.32</v>
      </c>
      <c r="F94" s="28" t="str">
        <f>[2]眼科!$B$6</f>
        <v>14.9</v>
      </c>
      <c r="G94" t="s">
        <v>59</v>
      </c>
      <c r="H94" t="s">
        <v>59</v>
      </c>
    </row>
    <row r="95" spans="1:8" x14ac:dyDescent="0.25">
      <c r="A95" t="s">
        <v>263</v>
      </c>
      <c r="B95" t="s">
        <v>14</v>
      </c>
      <c r="C95" t="s">
        <v>90</v>
      </c>
      <c r="D95" s="24">
        <f>[2]眼科!$Q$6</f>
        <v>6.8798710024187004</v>
      </c>
      <c r="E95" s="24">
        <f>[2]眼科!$K$6</f>
        <v>7.4609259805367101</v>
      </c>
      <c r="F95" s="24">
        <f>[2]眼科!$E$6</f>
        <v>5.9046177138531402</v>
      </c>
      <c r="G95" t="s">
        <v>59</v>
      </c>
      <c r="H95" t="s">
        <v>59</v>
      </c>
    </row>
    <row r="96" spans="1:8" x14ac:dyDescent="0.25">
      <c r="A96" t="s">
        <v>264</v>
      </c>
      <c r="B96" t="s">
        <v>59</v>
      </c>
      <c r="C96" t="s">
        <v>90</v>
      </c>
      <c r="D96" s="24" t="str">
        <f>[2]眼科!$O$7</f>
        <v>人工晶体二期置入术</v>
      </c>
      <c r="E96" s="24" t="str">
        <f>[2]眼科!$I$7</f>
        <v>玻璃体切除术，后路法</v>
      </c>
      <c r="F96" s="24" t="str">
        <f>[2]眼科!$C$7</f>
        <v>玻璃体切除术，后路法</v>
      </c>
      <c r="G96" t="s">
        <v>59</v>
      </c>
      <c r="H96" t="s">
        <v>59</v>
      </c>
    </row>
    <row r="97" spans="1:8" x14ac:dyDescent="0.25">
      <c r="A97" t="s">
        <v>265</v>
      </c>
      <c r="B97" t="s">
        <v>59</v>
      </c>
      <c r="C97" t="s">
        <v>90</v>
      </c>
      <c r="D97" s="25">
        <f>[2]眼科!$N$7</f>
        <v>13.72</v>
      </c>
      <c r="E97" s="25">
        <f>[2]眼科!$H$7</f>
        <v>14.74</v>
      </c>
      <c r="F97" s="25">
        <f>[2]眼科!$B$7</f>
        <v>14.74</v>
      </c>
      <c r="G97" t="s">
        <v>59</v>
      </c>
      <c r="H97" t="s">
        <v>59</v>
      </c>
    </row>
    <row r="98" spans="1:8" x14ac:dyDescent="0.25">
      <c r="A98" t="s">
        <v>266</v>
      </c>
      <c r="B98" t="s">
        <v>14</v>
      </c>
      <c r="C98" t="s">
        <v>90</v>
      </c>
      <c r="D98" s="26">
        <f>[2]眼科!$Q$7</f>
        <v>3.1711905401773701</v>
      </c>
      <c r="E98" s="26">
        <f>[2]眼科!$K$7</f>
        <v>3.8926570333235002</v>
      </c>
      <c r="F98" s="26">
        <f>[2]眼科!$E$7</f>
        <v>3.3812768104970998</v>
      </c>
      <c r="G98" t="s">
        <v>59</v>
      </c>
      <c r="H98" t="s">
        <v>59</v>
      </c>
    </row>
    <row r="99" spans="1:8" x14ac:dyDescent="0.25">
      <c r="A99" t="s">
        <v>267</v>
      </c>
      <c r="B99" t="s">
        <v>59</v>
      </c>
      <c r="C99" t="s">
        <v>90</v>
      </c>
      <c r="D99" s="24" t="str">
        <f>[2]眼科!$O$8</f>
        <v>视网膜前膜切除术</v>
      </c>
      <c r="E99" s="24" t="str">
        <f>[2]眼科!$I$8</f>
        <v>眼睑小病损切除术</v>
      </c>
      <c r="F99" s="24" t="str">
        <f>[2]眼科!$C$8</f>
        <v>视网膜病损激光治疗</v>
      </c>
      <c r="G99" t="s">
        <v>59</v>
      </c>
      <c r="H99" t="s">
        <v>59</v>
      </c>
    </row>
    <row r="100" spans="1:8" x14ac:dyDescent="0.25">
      <c r="A100" t="s">
        <v>268</v>
      </c>
      <c r="B100" t="s">
        <v>59</v>
      </c>
      <c r="C100" t="s">
        <v>90</v>
      </c>
      <c r="D100" s="10">
        <f>[2]眼科!$N$8</f>
        <v>14.29</v>
      </c>
      <c r="E100" s="10" t="str">
        <f>[2]眼科!$H$8</f>
        <v>08.22</v>
      </c>
      <c r="F100" s="10">
        <f>[2]眼科!$B$8</f>
        <v>14.24</v>
      </c>
      <c r="G100" t="s">
        <v>59</v>
      </c>
      <c r="H100" t="s">
        <v>59</v>
      </c>
    </row>
    <row r="101" spans="1:8" x14ac:dyDescent="0.25">
      <c r="A101" t="s">
        <v>269</v>
      </c>
      <c r="B101" t="s">
        <v>14</v>
      </c>
      <c r="C101" t="s">
        <v>90</v>
      </c>
      <c r="D101" s="10">
        <f>[2]眼科!$Q$8</f>
        <v>2.7143241064230001</v>
      </c>
      <c r="E101" s="10">
        <f>[2]眼科!$K$8</f>
        <v>2.2412267767620202</v>
      </c>
      <c r="F101" s="10">
        <f>[2]眼科!$E$8</f>
        <v>2.9018420388594501</v>
      </c>
      <c r="G101" t="s">
        <v>59</v>
      </c>
      <c r="H101" t="s">
        <v>59</v>
      </c>
    </row>
  </sheetData>
  <phoneticPr fontId="10" type="noConversion"/>
  <conditionalFormatting sqref="D88">
    <cfRule type="duplicateValues" dxfId="95" priority="12"/>
  </conditionalFormatting>
  <conditionalFormatting sqref="E88">
    <cfRule type="duplicateValues" dxfId="94" priority="4"/>
  </conditionalFormatting>
  <conditionalFormatting sqref="F88">
    <cfRule type="duplicateValues" dxfId="93" priority="8"/>
  </conditionalFormatting>
  <conditionalFormatting sqref="D91">
    <cfRule type="duplicateValues" dxfId="92" priority="11"/>
  </conditionalFormatting>
  <conditionalFormatting sqref="E91">
    <cfRule type="duplicateValues" dxfId="91" priority="3"/>
  </conditionalFormatting>
  <conditionalFormatting sqref="F91">
    <cfRule type="duplicateValues" dxfId="90" priority="7"/>
  </conditionalFormatting>
  <conditionalFormatting sqref="D94">
    <cfRule type="duplicateValues" dxfId="89" priority="9"/>
  </conditionalFormatting>
  <conditionalFormatting sqref="E94">
    <cfRule type="duplicateValues" dxfId="88" priority="1"/>
  </conditionalFormatting>
  <conditionalFormatting sqref="F94">
    <cfRule type="duplicateValues" dxfId="87" priority="5"/>
  </conditionalFormatting>
  <conditionalFormatting sqref="D98">
    <cfRule type="duplicateValues" dxfId="86" priority="10"/>
  </conditionalFormatting>
  <conditionalFormatting sqref="E98">
    <cfRule type="duplicateValues" dxfId="85" priority="2"/>
  </conditionalFormatting>
  <conditionalFormatting sqref="F98">
    <cfRule type="duplicateValues" dxfId="84" priority="6"/>
  </conditionalFormatting>
  <pageMargins left="0.69930555555555596" right="0.69930555555555596" top="0.75" bottom="0.75" header="0.3" footer="0.3"/>
  <ignoredErrors>
    <ignoredError sqref="A2:B31 G2:H31 G34:H101 A34:B101 A1:H1" numberStoredAsText="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61.647153815098903</v>
      </c>
      <c r="E2" s="5">
        <v>60.136217948717999</v>
      </c>
      <c r="F2" s="5">
        <v>54.944649446494502</v>
      </c>
      <c r="G2" t="s">
        <v>16</v>
      </c>
      <c r="H2" t="s">
        <v>17</v>
      </c>
    </row>
    <row r="3" spans="1:8" x14ac:dyDescent="0.25">
      <c r="A3" t="s">
        <v>18</v>
      </c>
      <c r="B3" t="s">
        <v>14</v>
      </c>
      <c r="C3" t="s">
        <v>15</v>
      </c>
      <c r="D3" s="5">
        <v>0.392927308447937</v>
      </c>
      <c r="E3" s="5">
        <v>0</v>
      </c>
      <c r="F3" s="5">
        <v>0</v>
      </c>
      <c r="G3" t="s">
        <v>19</v>
      </c>
      <c r="H3" t="s">
        <v>20</v>
      </c>
    </row>
    <row r="4" spans="1:8" x14ac:dyDescent="0.25">
      <c r="A4" t="s">
        <v>21</v>
      </c>
      <c r="B4" t="s">
        <v>14</v>
      </c>
      <c r="C4" t="s">
        <v>15</v>
      </c>
      <c r="D4" s="5">
        <v>7.6620825147347702</v>
      </c>
      <c r="E4" s="5">
        <v>2.59826782145237</v>
      </c>
      <c r="F4" s="5">
        <v>1.67897918065816</v>
      </c>
      <c r="G4" t="s">
        <v>22</v>
      </c>
      <c r="H4" t="s">
        <v>23</v>
      </c>
    </row>
    <row r="5" spans="1:8" x14ac:dyDescent="0.25">
      <c r="A5" t="s">
        <v>24</v>
      </c>
      <c r="B5" t="s">
        <v>14</v>
      </c>
      <c r="C5" t="s">
        <v>15</v>
      </c>
      <c r="D5" s="6">
        <v>81.75</v>
      </c>
      <c r="E5" s="6">
        <v>79.010000000000005</v>
      </c>
      <c r="F5" s="6">
        <v>68.599999999999994</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0.24</v>
      </c>
      <c r="E10" s="6">
        <v>0.08</v>
      </c>
      <c r="F10" s="6">
        <v>0.15</v>
      </c>
      <c r="G10" t="s">
        <v>58</v>
      </c>
      <c r="H10" t="s">
        <v>59</v>
      </c>
    </row>
    <row r="11" spans="1:8" x14ac:dyDescent="0.25">
      <c r="A11" t="s">
        <v>63</v>
      </c>
      <c r="B11" t="s">
        <v>64</v>
      </c>
      <c r="C11" t="s">
        <v>61</v>
      </c>
      <c r="D11" s="5">
        <v>65.656291448881106</v>
      </c>
      <c r="E11" s="5">
        <v>69.381040281421704</v>
      </c>
      <c r="F11" s="5">
        <v>55.430715374736003</v>
      </c>
      <c r="G11" t="s">
        <v>35</v>
      </c>
      <c r="H11" t="s">
        <v>65</v>
      </c>
    </row>
    <row r="12" spans="1:8" x14ac:dyDescent="0.25">
      <c r="A12" t="s">
        <v>66</v>
      </c>
      <c r="B12" t="s">
        <v>14</v>
      </c>
      <c r="C12" t="s">
        <v>61</v>
      </c>
      <c r="D12" s="6">
        <v>75.599999999999994</v>
      </c>
      <c r="E12" s="6">
        <v>53.03</v>
      </c>
      <c r="F12" s="6">
        <v>56.47</v>
      </c>
      <c r="G12" t="s">
        <v>39</v>
      </c>
      <c r="H12" t="s">
        <v>67</v>
      </c>
    </row>
    <row r="13" spans="1:8" x14ac:dyDescent="0.25">
      <c r="A13" t="s">
        <v>68</v>
      </c>
      <c r="B13" t="s">
        <v>14</v>
      </c>
      <c r="C13" t="s">
        <v>61</v>
      </c>
      <c r="D13" s="6">
        <v>95.85</v>
      </c>
      <c r="E13" s="6">
        <v>94.41</v>
      </c>
      <c r="F13" s="6">
        <v>91.21</v>
      </c>
      <c r="G13" t="s">
        <v>39</v>
      </c>
      <c r="H13" t="s">
        <v>69</v>
      </c>
    </row>
    <row r="14" spans="1:8" x14ac:dyDescent="0.25">
      <c r="A14" t="s">
        <v>74</v>
      </c>
      <c r="B14" t="s">
        <v>14</v>
      </c>
      <c r="C14" t="s">
        <v>75</v>
      </c>
      <c r="D14" s="18">
        <f>(876835+24250)/26330172*100</f>
        <v>3.4222526157444011</v>
      </c>
      <c r="E14" s="18">
        <f>509959/23632777*100</f>
        <v>2.1578462827284328</v>
      </c>
      <c r="F14" s="18">
        <f>34823.4/23894400*100</f>
        <v>0.14573875050220975</v>
      </c>
      <c r="G14" t="s">
        <v>35</v>
      </c>
      <c r="H14" t="s">
        <v>76</v>
      </c>
    </row>
    <row r="15" spans="1:8" x14ac:dyDescent="0.25">
      <c r="A15" t="s">
        <v>91</v>
      </c>
      <c r="B15" t="s">
        <v>92</v>
      </c>
      <c r="C15" t="s">
        <v>15</v>
      </c>
      <c r="D15" s="6">
        <v>5.29</v>
      </c>
      <c r="E15" s="6">
        <v>5.73</v>
      </c>
      <c r="F15" s="6">
        <v>6.43</v>
      </c>
      <c r="G15" t="s">
        <v>93</v>
      </c>
      <c r="H15" t="s">
        <v>94</v>
      </c>
    </row>
    <row r="16" spans="1:8" x14ac:dyDescent="0.25">
      <c r="A16" t="s">
        <v>95</v>
      </c>
      <c r="B16" t="s">
        <v>59</v>
      </c>
      <c r="C16" t="s">
        <v>34</v>
      </c>
      <c r="D16" s="6">
        <v>0.9</v>
      </c>
      <c r="E16" s="6">
        <v>0.85</v>
      </c>
      <c r="F16" s="6">
        <v>0.85</v>
      </c>
      <c r="G16" t="s">
        <v>96</v>
      </c>
      <c r="H16" t="s">
        <v>59</v>
      </c>
    </row>
    <row r="17" spans="1:8" x14ac:dyDescent="0.25">
      <c r="A17" t="s">
        <v>97</v>
      </c>
      <c r="B17" t="s">
        <v>98</v>
      </c>
      <c r="C17" t="s">
        <v>34</v>
      </c>
      <c r="D17" s="6">
        <v>76</v>
      </c>
      <c r="E17" s="6">
        <v>72</v>
      </c>
      <c r="F17" s="6">
        <v>82</v>
      </c>
      <c r="G17" t="s">
        <v>99</v>
      </c>
      <c r="H17" t="s">
        <v>59</v>
      </c>
    </row>
    <row r="18" spans="1:8" x14ac:dyDescent="0.25">
      <c r="A18" t="s">
        <v>104</v>
      </c>
      <c r="B18" t="s">
        <v>105</v>
      </c>
      <c r="C18" t="s">
        <v>15</v>
      </c>
      <c r="D18" s="6">
        <v>45</v>
      </c>
      <c r="E18" s="6">
        <v>45</v>
      </c>
      <c r="F18" s="6">
        <v>45</v>
      </c>
      <c r="G18" t="s">
        <v>58</v>
      </c>
      <c r="H18" t="s">
        <v>59</v>
      </c>
    </row>
    <row r="19" spans="1:8" x14ac:dyDescent="0.25">
      <c r="A19" t="s">
        <v>106</v>
      </c>
      <c r="B19" t="s">
        <v>105</v>
      </c>
      <c r="C19" t="s">
        <v>15</v>
      </c>
      <c r="D19" s="6">
        <v>48</v>
      </c>
      <c r="E19" s="6">
        <v>45</v>
      </c>
      <c r="F19" s="6">
        <v>50</v>
      </c>
      <c r="G19" t="s">
        <v>58</v>
      </c>
      <c r="H19" t="s">
        <v>59</v>
      </c>
    </row>
    <row r="20" spans="1:8" x14ac:dyDescent="0.25">
      <c r="A20" t="s">
        <v>107</v>
      </c>
      <c r="B20" t="s">
        <v>14</v>
      </c>
      <c r="C20" t="s">
        <v>15</v>
      </c>
      <c r="D20" s="6">
        <v>77.77</v>
      </c>
      <c r="E20" s="6">
        <v>81.709999999999994</v>
      </c>
      <c r="F20" s="6">
        <v>96.32</v>
      </c>
      <c r="G20" t="s">
        <v>58</v>
      </c>
      <c r="H20" t="s">
        <v>108</v>
      </c>
    </row>
    <row r="21" spans="1:8" x14ac:dyDescent="0.25">
      <c r="A21" t="s">
        <v>112</v>
      </c>
      <c r="B21" t="s">
        <v>59</v>
      </c>
      <c r="C21" t="s">
        <v>102</v>
      </c>
      <c r="D21" s="5">
        <f t="shared" ref="D21:F21" si="0">D43/D19</f>
        <v>0.27083333333333331</v>
      </c>
      <c r="E21" s="5">
        <f t="shared" si="0"/>
        <v>0.28888888888888886</v>
      </c>
      <c r="F21" s="5">
        <f t="shared" si="0"/>
        <v>0.26</v>
      </c>
      <c r="G21" t="s">
        <v>110</v>
      </c>
      <c r="H21" t="s">
        <v>113</v>
      </c>
    </row>
    <row r="22" spans="1:8" x14ac:dyDescent="0.25">
      <c r="A22" t="s">
        <v>114</v>
      </c>
      <c r="B22" t="s">
        <v>59</v>
      </c>
      <c r="C22" t="s">
        <v>102</v>
      </c>
      <c r="D22" s="5">
        <f t="shared" ref="D22:F22" si="1">D44/D19</f>
        <v>0.4375</v>
      </c>
      <c r="E22" s="5">
        <f t="shared" si="1"/>
        <v>0.46666666666666667</v>
      </c>
      <c r="F22" s="5">
        <f t="shared" si="1"/>
        <v>0.42</v>
      </c>
      <c r="G22" t="s">
        <v>110</v>
      </c>
      <c r="H22" t="s">
        <v>115</v>
      </c>
    </row>
    <row r="23" spans="1:8" x14ac:dyDescent="0.25">
      <c r="A23" t="s">
        <v>116</v>
      </c>
      <c r="B23" t="s">
        <v>117</v>
      </c>
      <c r="C23" t="s">
        <v>118</v>
      </c>
      <c r="D23" s="5">
        <v>25.935965299999999</v>
      </c>
      <c r="E23" s="5">
        <v>22.445395358974402</v>
      </c>
      <c r="F23" s="5">
        <v>22.700428810810799</v>
      </c>
      <c r="G23" t="s">
        <v>119</v>
      </c>
      <c r="H23" t="s">
        <v>59</v>
      </c>
    </row>
    <row r="24" spans="1:8" x14ac:dyDescent="0.25">
      <c r="A24" t="s">
        <v>120</v>
      </c>
      <c r="B24" t="s">
        <v>117</v>
      </c>
      <c r="C24" t="s">
        <v>118</v>
      </c>
      <c r="D24" s="5">
        <v>54.0127174</v>
      </c>
      <c r="E24" s="5">
        <v>48.735021948718</v>
      </c>
      <c r="F24" s="5">
        <v>49.979952567567601</v>
      </c>
      <c r="G24" t="s">
        <v>121</v>
      </c>
      <c r="H24" t="s">
        <v>59</v>
      </c>
    </row>
    <row r="25" spans="1:8" x14ac:dyDescent="0.25">
      <c r="A25" t="s">
        <v>122</v>
      </c>
      <c r="B25" t="s">
        <v>117</v>
      </c>
      <c r="C25" t="s">
        <v>118</v>
      </c>
      <c r="D25" s="5">
        <v>22.068466539034201</v>
      </c>
      <c r="E25" s="5">
        <v>18.271142120642899</v>
      </c>
      <c r="F25" s="5">
        <v>16.798317319999999</v>
      </c>
      <c r="G25" t="s">
        <v>123</v>
      </c>
      <c r="H25" t="s">
        <v>59</v>
      </c>
    </row>
    <row r="26" spans="1:8" x14ac:dyDescent="0.25">
      <c r="A26" t="s">
        <v>124</v>
      </c>
      <c r="B26" t="s">
        <v>117</v>
      </c>
      <c r="C26" t="s">
        <v>118</v>
      </c>
      <c r="D26" s="5">
        <v>45.958491725164897</v>
      </c>
      <c r="E26" s="5">
        <v>39.671589563765401</v>
      </c>
      <c r="F26" s="5">
        <v>36.985164900000001</v>
      </c>
      <c r="G26" t="s">
        <v>125</v>
      </c>
      <c r="H26" t="s">
        <v>59</v>
      </c>
    </row>
    <row r="27" spans="1:8" x14ac:dyDescent="0.25">
      <c r="A27" t="s">
        <v>126</v>
      </c>
      <c r="B27" t="s">
        <v>127</v>
      </c>
      <c r="C27" t="s">
        <v>118</v>
      </c>
      <c r="D27" s="5">
        <v>2.81264488935722</v>
      </c>
      <c r="E27" s="5">
        <v>3.0193888303477299</v>
      </c>
      <c r="F27" s="5">
        <v>3.7047418335089599</v>
      </c>
      <c r="G27" t="s">
        <v>39</v>
      </c>
      <c r="H27" t="s">
        <v>128</v>
      </c>
    </row>
    <row r="28" spans="1:8" x14ac:dyDescent="0.25">
      <c r="A28" t="s">
        <v>129</v>
      </c>
      <c r="B28" t="s">
        <v>14</v>
      </c>
      <c r="C28" t="s">
        <v>118</v>
      </c>
      <c r="D28" s="5">
        <v>36.702271346790099</v>
      </c>
      <c r="E28" s="5">
        <v>34.983434534210097</v>
      </c>
      <c r="F28" s="5">
        <v>33.708570447182296</v>
      </c>
      <c r="G28" t="s">
        <v>130</v>
      </c>
      <c r="H28" t="s">
        <v>131</v>
      </c>
    </row>
    <row r="29" spans="1:8" x14ac:dyDescent="0.25">
      <c r="A29" t="s">
        <v>132</v>
      </c>
      <c r="B29" t="s">
        <v>117</v>
      </c>
      <c r="C29" t="s">
        <v>118</v>
      </c>
      <c r="D29" s="5">
        <v>2826.633268</v>
      </c>
      <c r="E29" s="5">
        <v>2502.2426489999998</v>
      </c>
      <c r="F29" s="5">
        <v>2491.6982680000001</v>
      </c>
      <c r="G29" t="s">
        <v>59</v>
      </c>
      <c r="H29" t="s">
        <v>133</v>
      </c>
    </row>
    <row r="30" spans="1:8" x14ac:dyDescent="0.25">
      <c r="A30" t="s">
        <v>134</v>
      </c>
      <c r="B30" t="s">
        <v>117</v>
      </c>
      <c r="C30" t="s">
        <v>118</v>
      </c>
      <c r="D30" s="5">
        <v>1037.4386119999999</v>
      </c>
      <c r="E30" s="5">
        <v>875.37041899999997</v>
      </c>
      <c r="F30" s="5">
        <v>839.91586600000005</v>
      </c>
      <c r="G30" t="s">
        <v>59</v>
      </c>
      <c r="H30" t="s">
        <v>59</v>
      </c>
    </row>
    <row r="31" spans="1:8" x14ac:dyDescent="0.25">
      <c r="A31" t="s">
        <v>135</v>
      </c>
      <c r="B31" t="s">
        <v>117</v>
      </c>
      <c r="C31" t="s">
        <v>118</v>
      </c>
      <c r="D31" s="5">
        <v>2160.5086959999999</v>
      </c>
      <c r="E31" s="5">
        <v>1900.6658560000001</v>
      </c>
      <c r="F31" s="5">
        <v>1849.258245</v>
      </c>
      <c r="G31" t="s">
        <v>59</v>
      </c>
      <c r="H31" t="s">
        <v>136</v>
      </c>
    </row>
    <row r="32" spans="1:8" x14ac:dyDescent="0.25">
      <c r="A32" t="s">
        <v>216</v>
      </c>
      <c r="B32" t="s">
        <v>117</v>
      </c>
      <c r="D32" s="17">
        <v>1876.06</v>
      </c>
      <c r="E32" s="17">
        <v>1629.01</v>
      </c>
      <c r="F32" s="17">
        <v>1661.04</v>
      </c>
    </row>
    <row r="33" spans="1:8" x14ac:dyDescent="0.25">
      <c r="A33" t="s">
        <v>143</v>
      </c>
      <c r="B33" t="s">
        <v>14</v>
      </c>
      <c r="D33" s="15">
        <v>-2.2799999999999998</v>
      </c>
      <c r="E33" s="15">
        <v>1.67</v>
      </c>
      <c r="F33" s="15">
        <v>4.63</v>
      </c>
    </row>
    <row r="34" spans="1:8" x14ac:dyDescent="0.25">
      <c r="A34" t="s">
        <v>137</v>
      </c>
      <c r="B34" t="s">
        <v>138</v>
      </c>
      <c r="C34" t="s">
        <v>139</v>
      </c>
      <c r="D34" s="6"/>
      <c r="E34" s="6"/>
      <c r="F34" s="6"/>
      <c r="G34" t="s">
        <v>35</v>
      </c>
      <c r="H34" t="s">
        <v>140</v>
      </c>
    </row>
    <row r="35" spans="1:8" x14ac:dyDescent="0.25">
      <c r="A35" t="s">
        <v>217</v>
      </c>
      <c r="B35" t="s">
        <v>14</v>
      </c>
      <c r="C35" t="s">
        <v>118</v>
      </c>
      <c r="D35" s="5">
        <v>46.125649965285803</v>
      </c>
      <c r="E35" s="5">
        <v>45.384071782720198</v>
      </c>
      <c r="F35" s="5">
        <v>44.793704572258399</v>
      </c>
      <c r="G35" t="s">
        <v>22</v>
      </c>
      <c r="H35" t="s">
        <v>218</v>
      </c>
    </row>
    <row r="36" spans="1:8" x14ac:dyDescent="0.25">
      <c r="A36" t="s">
        <v>219</v>
      </c>
      <c r="B36" t="s">
        <v>14</v>
      </c>
      <c r="C36" t="s">
        <v>118</v>
      </c>
      <c r="D36" s="5">
        <v>53.874350034714197</v>
      </c>
      <c r="E36" s="5">
        <v>54.615928217279802</v>
      </c>
      <c r="F36" s="5">
        <v>55.206295427741601</v>
      </c>
      <c r="G36" t="s">
        <v>22</v>
      </c>
      <c r="H36" t="s">
        <v>220</v>
      </c>
    </row>
    <row r="37" spans="1:8" x14ac:dyDescent="0.25">
      <c r="A37" t="s">
        <v>144</v>
      </c>
      <c r="B37" t="s">
        <v>14</v>
      </c>
      <c r="C37" t="s">
        <v>118</v>
      </c>
      <c r="D37" s="5">
        <v>12.9639952835765</v>
      </c>
      <c r="E37" s="5">
        <v>0.42318049241424899</v>
      </c>
      <c r="F37" s="5">
        <v>13.099862271170499</v>
      </c>
      <c r="G37" t="s">
        <v>35</v>
      </c>
      <c r="H37" t="s">
        <v>145</v>
      </c>
    </row>
    <row r="38" spans="1:8" x14ac:dyDescent="0.25">
      <c r="A38" t="s">
        <v>146</v>
      </c>
      <c r="B38" t="s">
        <v>14</v>
      </c>
      <c r="C38" t="s">
        <v>118</v>
      </c>
      <c r="D38" s="5">
        <v>-1.58594185751686</v>
      </c>
      <c r="E38" s="5">
        <v>16.897618444499599</v>
      </c>
      <c r="F38" s="5">
        <v>7.5919761106078196</v>
      </c>
      <c r="G38" t="s">
        <v>35</v>
      </c>
      <c r="H38" t="s">
        <v>147</v>
      </c>
    </row>
    <row r="39" spans="1:8" x14ac:dyDescent="0.25">
      <c r="A39" t="s">
        <v>148</v>
      </c>
      <c r="B39" t="s">
        <v>14</v>
      </c>
      <c r="C39" t="s">
        <v>118</v>
      </c>
      <c r="D39" s="5">
        <v>10.435311134607201</v>
      </c>
      <c r="E39" s="5">
        <v>8.6293647726638998</v>
      </c>
      <c r="F39" s="5">
        <v>5.3561162394675099</v>
      </c>
      <c r="G39" t="s">
        <v>35</v>
      </c>
      <c r="H39" t="s">
        <v>149</v>
      </c>
    </row>
    <row r="40" spans="1:8" x14ac:dyDescent="0.25">
      <c r="A40" t="s">
        <v>150</v>
      </c>
      <c r="B40" t="s">
        <v>14</v>
      </c>
      <c r="C40" t="s">
        <v>118</v>
      </c>
      <c r="D40" s="5">
        <v>-14.6195613112908</v>
      </c>
      <c r="E40" s="5">
        <v>9.8052924974815596</v>
      </c>
      <c r="F40" s="5">
        <v>12.838360191188301</v>
      </c>
      <c r="G40" t="s">
        <v>35</v>
      </c>
      <c r="H40" t="s">
        <v>151</v>
      </c>
    </row>
    <row r="41" spans="1:8" x14ac:dyDescent="0.25">
      <c r="A41" t="s">
        <v>152</v>
      </c>
      <c r="B41" t="s">
        <v>14</v>
      </c>
      <c r="C41" t="s">
        <v>118</v>
      </c>
      <c r="D41" s="5">
        <v>-8.1285648308525609</v>
      </c>
      <c r="E41" s="5">
        <v>-18.1422065297483</v>
      </c>
      <c r="F41" s="5">
        <v>-13.555955308786499</v>
      </c>
      <c r="G41" t="s">
        <v>35</v>
      </c>
      <c r="H41" t="s">
        <v>153</v>
      </c>
    </row>
    <row r="42" spans="1:8" x14ac:dyDescent="0.25">
      <c r="A42" t="s">
        <v>164</v>
      </c>
      <c r="B42" t="s">
        <v>59</v>
      </c>
      <c r="C42" t="s">
        <v>102</v>
      </c>
      <c r="D42" s="6">
        <v>0.62</v>
      </c>
      <c r="E42" s="6">
        <v>0.62</v>
      </c>
      <c r="F42" s="6">
        <v>0.62</v>
      </c>
      <c r="G42" t="s">
        <v>165</v>
      </c>
      <c r="H42" t="s">
        <v>166</v>
      </c>
    </row>
    <row r="43" spans="1:8" x14ac:dyDescent="0.25">
      <c r="A43" t="s">
        <v>167</v>
      </c>
      <c r="B43" t="s">
        <v>101</v>
      </c>
      <c r="C43" t="s">
        <v>102</v>
      </c>
      <c r="D43" s="6">
        <v>13</v>
      </c>
      <c r="E43" s="6">
        <v>13</v>
      </c>
      <c r="F43" s="6">
        <v>13</v>
      </c>
      <c r="G43" t="s">
        <v>168</v>
      </c>
      <c r="H43" t="s">
        <v>59</v>
      </c>
    </row>
    <row r="44" spans="1:8" x14ac:dyDescent="0.25">
      <c r="A44" t="s">
        <v>169</v>
      </c>
      <c r="B44" t="s">
        <v>101</v>
      </c>
      <c r="C44" t="s">
        <v>102</v>
      </c>
      <c r="D44" s="6">
        <v>21</v>
      </c>
      <c r="E44" s="6">
        <v>21</v>
      </c>
      <c r="F44" s="6">
        <v>21</v>
      </c>
      <c r="G44" t="s">
        <v>168</v>
      </c>
      <c r="H44" t="s">
        <v>59</v>
      </c>
    </row>
    <row r="45" spans="1:8" x14ac:dyDescent="0.25">
      <c r="A45" t="s">
        <v>221</v>
      </c>
      <c r="B45" t="s">
        <v>14</v>
      </c>
      <c r="C45" t="s">
        <v>102</v>
      </c>
      <c r="D45" s="6">
        <v>38.46</v>
      </c>
      <c r="E45" s="6">
        <v>38.46</v>
      </c>
      <c r="F45" s="6">
        <v>38.46</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38.46</v>
      </c>
      <c r="E47" s="6">
        <v>38.46</v>
      </c>
      <c r="F47" s="6">
        <v>38.46</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1.89745660072669</v>
      </c>
      <c r="E58" s="9">
        <v>3.2852564102564101</v>
      </c>
      <c r="F58" s="9">
        <v>4.1328413284132797</v>
      </c>
      <c r="G58" t="s">
        <v>59</v>
      </c>
      <c r="H58" t="s">
        <v>213</v>
      </c>
    </row>
    <row r="59" spans="1:8" x14ac:dyDescent="0.25">
      <c r="A59" t="s">
        <v>214</v>
      </c>
      <c r="B59" t="s">
        <v>14</v>
      </c>
      <c r="C59" t="s">
        <v>15</v>
      </c>
      <c r="D59" s="5">
        <v>1.0092854259184501</v>
      </c>
      <c r="E59" s="5">
        <v>1.16185897435897</v>
      </c>
      <c r="F59" s="5">
        <v>1.0701107011070099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[1]耳鼻喉科!$O$4</f>
        <v>扁桃体和腺样体肥大</v>
      </c>
      <c r="E72" s="10" t="str">
        <f>[1]耳鼻喉科!$I$4</f>
        <v>慢性鼻窦炎</v>
      </c>
      <c r="F72" s="10" t="str">
        <f>[1]耳鼻喉科!$C$4</f>
        <v>慢性粘液样中耳炎</v>
      </c>
      <c r="G72" t="s">
        <v>59</v>
      </c>
      <c r="H72" t="s">
        <v>59</v>
      </c>
    </row>
    <row r="73" spans="1:8" x14ac:dyDescent="0.25">
      <c r="A73" t="s">
        <v>241</v>
      </c>
      <c r="B73" t="s">
        <v>59</v>
      </c>
      <c r="C73" t="s">
        <v>90</v>
      </c>
      <c r="D73" s="10" t="str">
        <f>[1]耳鼻喉科!$N$4</f>
        <v>J35</v>
      </c>
      <c r="E73" s="10" t="str">
        <f>[1]耳鼻喉科!$H$4</f>
        <v>J32</v>
      </c>
      <c r="F73" s="10" t="str">
        <f>[1]耳鼻喉科!$B$4</f>
        <v>H65.3</v>
      </c>
      <c r="G73" t="s">
        <v>59</v>
      </c>
      <c r="H73" t="s">
        <v>59</v>
      </c>
    </row>
    <row r="74" spans="1:8" x14ac:dyDescent="0.25">
      <c r="A74" t="s">
        <v>242</v>
      </c>
      <c r="B74" t="s">
        <v>14</v>
      </c>
      <c r="C74" t="s">
        <v>90</v>
      </c>
      <c r="D74" s="10">
        <f>[1]耳鼻喉科!$Q$4</f>
        <v>17.763423496164702</v>
      </c>
      <c r="E74" s="10">
        <f>[1]耳鼻喉科!$K$4</f>
        <v>9.4951923076923102</v>
      </c>
      <c r="F74" s="10">
        <f>[1]耳鼻喉科!$E$4</f>
        <v>10.479704797048001</v>
      </c>
      <c r="G74" t="s">
        <v>59</v>
      </c>
      <c r="H74" t="s">
        <v>59</v>
      </c>
    </row>
    <row r="75" spans="1:8" x14ac:dyDescent="0.25">
      <c r="A75" t="s">
        <v>243</v>
      </c>
      <c r="B75" t="s">
        <v>59</v>
      </c>
      <c r="C75" t="s">
        <v>90</v>
      </c>
      <c r="D75" s="10" t="str">
        <f>[1]耳鼻喉科!$O$5</f>
        <v>慢性鼻窦炎</v>
      </c>
      <c r="E75" s="10" t="str">
        <f>[1]耳鼻喉科!$I$5</f>
        <v>扁桃体和腺样体肥大</v>
      </c>
      <c r="F75" s="10" t="str">
        <f>[1]耳鼻喉科!$C$5</f>
        <v>慢性鼻窦炎</v>
      </c>
      <c r="G75" t="s">
        <v>59</v>
      </c>
      <c r="H75" t="s">
        <v>59</v>
      </c>
    </row>
    <row r="76" spans="1:8" x14ac:dyDescent="0.25">
      <c r="A76" t="s">
        <v>244</v>
      </c>
      <c r="B76" t="s">
        <v>59</v>
      </c>
      <c r="C76" t="s">
        <v>90</v>
      </c>
      <c r="D76" s="10" t="str">
        <f>[1]耳鼻喉科!$N$5</f>
        <v>J32</v>
      </c>
      <c r="E76" s="10" t="str">
        <f>[1]耳鼻喉科!$H$5</f>
        <v>J35.-</v>
      </c>
      <c r="F76" s="10" t="str">
        <f>[1]耳鼻喉科!$B$5</f>
        <v>J32</v>
      </c>
      <c r="G76" t="s">
        <v>59</v>
      </c>
      <c r="H76" t="s">
        <v>59</v>
      </c>
    </row>
    <row r="77" spans="1:8" x14ac:dyDescent="0.25">
      <c r="A77" t="s">
        <v>245</v>
      </c>
      <c r="B77" t="s">
        <v>14</v>
      </c>
      <c r="C77" t="s">
        <v>90</v>
      </c>
      <c r="D77" s="10">
        <f>[1]耳鼻喉科!$Q$5</f>
        <v>9.9717400080742795</v>
      </c>
      <c r="E77" s="10">
        <f>[1]耳鼻喉科!$K$5</f>
        <v>8.2131410256410309</v>
      </c>
      <c r="F77" s="10">
        <f>[1]耳鼻喉科!$E$5</f>
        <v>9.5202952029520294</v>
      </c>
      <c r="G77" t="s">
        <v>59</v>
      </c>
      <c r="H77" t="s">
        <v>59</v>
      </c>
    </row>
    <row r="78" spans="1:8" x14ac:dyDescent="0.25">
      <c r="A78" t="s">
        <v>246</v>
      </c>
      <c r="B78" t="s">
        <v>59</v>
      </c>
      <c r="C78" t="s">
        <v>90</v>
      </c>
      <c r="D78" s="10" t="str">
        <f>[1]耳鼻喉科!$O$6</f>
        <v>声带和喉的息肉</v>
      </c>
      <c r="E78" s="10" t="str">
        <f>[1]耳鼻喉科!$I$6</f>
        <v>传导性和感音神经性听觉丧失</v>
      </c>
      <c r="F78" s="10" t="str">
        <f>[1]耳鼻喉科!$C$6</f>
        <v>传导性和感音神经性听觉丧失</v>
      </c>
      <c r="G78" t="s">
        <v>59</v>
      </c>
      <c r="H78" t="s">
        <v>59</v>
      </c>
    </row>
    <row r="79" spans="1:8" x14ac:dyDescent="0.25">
      <c r="A79" t="s">
        <v>247</v>
      </c>
      <c r="B79" t="s">
        <v>59</v>
      </c>
      <c r="C79" t="s">
        <v>90</v>
      </c>
      <c r="D79" s="10" t="str">
        <f>[1]耳鼻喉科!$N$6</f>
        <v>J38.1</v>
      </c>
      <c r="E79" s="10" t="str">
        <f>[1]耳鼻喉科!$H$6</f>
        <v>H90</v>
      </c>
      <c r="F79" s="10" t="str">
        <f>[1]耳鼻喉科!$B$6</f>
        <v>H90</v>
      </c>
      <c r="G79" t="s">
        <v>59</v>
      </c>
      <c r="H79" t="s">
        <v>59</v>
      </c>
    </row>
    <row r="80" spans="1:8" x14ac:dyDescent="0.25">
      <c r="A80" t="s">
        <v>248</v>
      </c>
      <c r="B80" t="s">
        <v>14</v>
      </c>
      <c r="C80" t="s">
        <v>90</v>
      </c>
      <c r="D80" s="10">
        <f>[1]耳鼻喉科!$Q$6</f>
        <v>6.0153411384739597</v>
      </c>
      <c r="E80" s="10">
        <f>[1]耳鼻喉科!$K$6</f>
        <v>7.3717948717948696</v>
      </c>
      <c r="F80" s="10">
        <f>[1]耳鼻喉科!$E$6</f>
        <v>9.2250922509225095</v>
      </c>
      <c r="G80" t="s">
        <v>59</v>
      </c>
      <c r="H80" t="s">
        <v>59</v>
      </c>
    </row>
    <row r="81" spans="1:8" x14ac:dyDescent="0.25">
      <c r="A81" t="s">
        <v>249</v>
      </c>
      <c r="B81" t="s">
        <v>59</v>
      </c>
      <c r="C81" t="s">
        <v>90</v>
      </c>
      <c r="D81" s="10" t="str">
        <f>[1]耳鼻喉科!$O$7</f>
        <v>传导性和感音神经性听觉丧失</v>
      </c>
      <c r="E81" s="10" t="str">
        <f>[1]耳鼻喉科!$I$7</f>
        <v>突发特发性听觉丧失</v>
      </c>
      <c r="F81" s="10" t="str">
        <f>[1]耳鼻喉科!$C$7</f>
        <v>声带和喉的息肉</v>
      </c>
      <c r="G81" t="s">
        <v>59</v>
      </c>
      <c r="H81" t="s">
        <v>59</v>
      </c>
    </row>
    <row r="82" spans="1:8" x14ac:dyDescent="0.25">
      <c r="A82" t="s">
        <v>250</v>
      </c>
      <c r="B82" t="s">
        <v>59</v>
      </c>
      <c r="C82" t="s">
        <v>90</v>
      </c>
      <c r="D82" s="10" t="str">
        <f>[1]耳鼻喉科!$N$7</f>
        <v>H90</v>
      </c>
      <c r="E82" s="10" t="str">
        <f>[1]耳鼻喉科!$H$7</f>
        <v>H91.2</v>
      </c>
      <c r="F82" s="10" t="str">
        <f>[1]耳鼻喉科!$B$7</f>
        <v>J38.1</v>
      </c>
      <c r="G82" t="s">
        <v>59</v>
      </c>
      <c r="H82" t="s">
        <v>59</v>
      </c>
    </row>
    <row r="83" spans="1:8" x14ac:dyDescent="0.25">
      <c r="A83" t="s">
        <v>251</v>
      </c>
      <c r="B83" t="s">
        <v>14</v>
      </c>
      <c r="C83" t="s">
        <v>90</v>
      </c>
      <c r="D83" s="10">
        <f>[1]耳鼻喉科!$Q$7</f>
        <v>5.7327412192167904</v>
      </c>
      <c r="E83" s="10">
        <f>[1]耳鼻喉科!$K$7</f>
        <v>5.8894230769230802</v>
      </c>
      <c r="F83" s="10">
        <f>[1]耳鼻喉科!$E$7</f>
        <v>6.6789667896678999</v>
      </c>
      <c r="G83" t="s">
        <v>59</v>
      </c>
      <c r="H83" t="s">
        <v>59</v>
      </c>
    </row>
    <row r="84" spans="1:8" x14ac:dyDescent="0.25">
      <c r="A84" t="s">
        <v>252</v>
      </c>
      <c r="B84" t="s">
        <v>59</v>
      </c>
      <c r="C84" t="s">
        <v>90</v>
      </c>
      <c r="D84" s="10" t="str">
        <f>[1]耳鼻喉科!$O$8</f>
        <v>突发特发性听觉丧失</v>
      </c>
      <c r="E84" s="10" t="str">
        <f>[1]耳鼻喉科!$I$8</f>
        <v>声带和喉的息肉</v>
      </c>
      <c r="F84" s="10" t="str">
        <f>[1]耳鼻喉科!$C$8</f>
        <v>扁桃体和腺样体肥大</v>
      </c>
      <c r="G84" t="s">
        <v>59</v>
      </c>
      <c r="H84" t="s">
        <v>59</v>
      </c>
    </row>
    <row r="85" spans="1:8" x14ac:dyDescent="0.25">
      <c r="A85" t="s">
        <v>253</v>
      </c>
      <c r="B85" t="s">
        <v>59</v>
      </c>
      <c r="C85" t="s">
        <v>90</v>
      </c>
      <c r="D85" s="10" t="str">
        <f>[1]耳鼻喉科!$N$8</f>
        <v>H91.2</v>
      </c>
      <c r="E85" s="10" t="str">
        <f>[1]耳鼻喉科!$H$8</f>
        <v>J38.1</v>
      </c>
      <c r="F85" s="10" t="str">
        <f>[1]耳鼻喉科!$B$8</f>
        <v>J35.-</v>
      </c>
      <c r="G85" t="s">
        <v>59</v>
      </c>
      <c r="H85" t="s">
        <v>59</v>
      </c>
    </row>
    <row r="86" spans="1:8" x14ac:dyDescent="0.25">
      <c r="A86" t="s">
        <v>254</v>
      </c>
      <c r="B86" t="s">
        <v>14</v>
      </c>
      <c r="C86" t="s">
        <v>90</v>
      </c>
      <c r="D86" s="10">
        <f>[1]耳鼻喉科!$Q$8</f>
        <v>5.2482842147759401</v>
      </c>
      <c r="E86" s="10">
        <f>[1]耳鼻喉科!$K$8</f>
        <v>5.4887820512820502</v>
      </c>
      <c r="F86" s="10">
        <f>[1]耳鼻喉科!$E$8</f>
        <v>5.3136531365313697</v>
      </c>
      <c r="G86" t="s">
        <v>59</v>
      </c>
      <c r="H86" t="s">
        <v>59</v>
      </c>
    </row>
    <row r="87" spans="1:8" x14ac:dyDescent="0.25">
      <c r="A87" t="s">
        <v>255</v>
      </c>
      <c r="B87" t="s">
        <v>59</v>
      </c>
      <c r="C87" t="s">
        <v>90</v>
      </c>
      <c r="D87" s="22" t="str">
        <f>[2]耳鼻喉科!$O$4</f>
        <v>鼻内窥镜下多个鼻窦开窗术</v>
      </c>
      <c r="E87" s="22" t="str">
        <f>[2]耳鼻喉科!$I$4</f>
        <v>多个鼻窦开放术，经鼻镜</v>
      </c>
      <c r="F87" s="22" t="str">
        <f>[2]耳鼻喉科!$C$4</f>
        <v>多个鼻窦开放术，经鼻镜</v>
      </c>
      <c r="G87" t="s">
        <v>59</v>
      </c>
      <c r="H87" t="s">
        <v>59</v>
      </c>
    </row>
    <row r="88" spans="1:8" x14ac:dyDescent="0.25">
      <c r="A88" t="s">
        <v>256</v>
      </c>
      <c r="B88" t="s">
        <v>59</v>
      </c>
      <c r="C88" t="s">
        <v>90</v>
      </c>
      <c r="D88" s="23">
        <f>[2]耳鼻喉科!$N$4</f>
        <v>22.53</v>
      </c>
      <c r="E88" s="23">
        <f>[2]耳鼻喉科!$H$4</f>
        <v>22.53</v>
      </c>
      <c r="F88" s="23">
        <f>[2]耳鼻喉科!$B$4</f>
        <v>22.53</v>
      </c>
      <c r="G88" t="s">
        <v>59</v>
      </c>
      <c r="H88" t="s">
        <v>59</v>
      </c>
    </row>
    <row r="89" spans="1:8" x14ac:dyDescent="0.25">
      <c r="A89" t="s">
        <v>257</v>
      </c>
      <c r="B89" t="s">
        <v>14</v>
      </c>
      <c r="C89" t="s">
        <v>90</v>
      </c>
      <c r="D89" s="24">
        <f>[2]耳鼻喉科!$Q$4</f>
        <v>16.1755075311067</v>
      </c>
      <c r="E89" s="24">
        <f>[2]耳鼻喉科!$K$4</f>
        <v>15.1898734177215</v>
      </c>
      <c r="F89" s="24">
        <f>[2]耳鼻喉科!$E$4</f>
        <v>15.446608462055099</v>
      </c>
      <c r="G89" t="s">
        <v>59</v>
      </c>
      <c r="H89" t="s">
        <v>59</v>
      </c>
    </row>
    <row r="90" spans="1:8" x14ac:dyDescent="0.25">
      <c r="A90" t="s">
        <v>258</v>
      </c>
      <c r="B90" t="s">
        <v>59</v>
      </c>
      <c r="C90" t="s">
        <v>90</v>
      </c>
      <c r="D90" s="25" t="str">
        <f>[2]耳鼻喉科!$O$5</f>
        <v>内镜下声带病损切除术</v>
      </c>
      <c r="E90" s="25" t="str">
        <f>[2]耳鼻喉科!$I$5</f>
        <v>声带病损切除术，经喉镜</v>
      </c>
      <c r="F90" s="25" t="str">
        <f>[2]耳鼻喉科!$C$5</f>
        <v>鼓膜穿刺抽吸术(中耳抽吸术)</v>
      </c>
      <c r="G90" t="s">
        <v>59</v>
      </c>
      <c r="H90" t="s">
        <v>59</v>
      </c>
    </row>
    <row r="91" spans="1:8" x14ac:dyDescent="0.25">
      <c r="A91" t="s">
        <v>259</v>
      </c>
      <c r="B91" t="s">
        <v>59</v>
      </c>
      <c r="C91" t="s">
        <v>90</v>
      </c>
      <c r="D91" s="26">
        <f>[2]耳鼻喉科!$N$5</f>
        <v>30.09</v>
      </c>
      <c r="E91" s="26">
        <f>[2]耳鼻喉科!$H$5</f>
        <v>30.09</v>
      </c>
      <c r="F91" s="26">
        <f>[2]耳鼻喉科!$B$5</f>
        <v>20.09</v>
      </c>
      <c r="G91" t="s">
        <v>59</v>
      </c>
      <c r="H91" t="s">
        <v>59</v>
      </c>
    </row>
    <row r="92" spans="1:8" x14ac:dyDescent="0.25">
      <c r="A92" t="s">
        <v>260</v>
      </c>
      <c r="B92" t="s">
        <v>14</v>
      </c>
      <c r="C92" t="s">
        <v>90</v>
      </c>
      <c r="D92" s="24">
        <f>[2]耳鼻喉科!$Q$5</f>
        <v>13.0320890635232</v>
      </c>
      <c r="E92" s="24">
        <f>[2]耳鼻喉科!$K$5</f>
        <v>12.258494337108599</v>
      </c>
      <c r="F92" s="24">
        <f>[2]耳鼻喉科!$E$5</f>
        <v>14.9093351242445</v>
      </c>
      <c r="G92" t="s">
        <v>59</v>
      </c>
      <c r="H92" t="s">
        <v>59</v>
      </c>
    </row>
    <row r="93" spans="1:8" x14ac:dyDescent="0.25">
      <c r="A93" t="s">
        <v>261</v>
      </c>
      <c r="B93" t="s">
        <v>59</v>
      </c>
      <c r="C93" t="s">
        <v>90</v>
      </c>
      <c r="D93" s="27" t="str">
        <f>[2]耳鼻喉科!$O$6</f>
        <v>鼻内镜下腺样体等离子切除术</v>
      </c>
      <c r="E93" s="27" t="str">
        <f>[2]耳鼻喉科!$I$6</f>
        <v>扁桃体伴腺样体消融术，经内窥镜</v>
      </c>
      <c r="F93" s="27" t="str">
        <f>[2]耳鼻喉科!$C$6</f>
        <v>声带病损切除术，经喉镜</v>
      </c>
      <c r="G93" t="s">
        <v>59</v>
      </c>
      <c r="H93" t="s">
        <v>59</v>
      </c>
    </row>
    <row r="94" spans="1:8" x14ac:dyDescent="0.25">
      <c r="A94" t="s">
        <v>262</v>
      </c>
      <c r="B94" t="s">
        <v>59</v>
      </c>
      <c r="C94" t="s">
        <v>90</v>
      </c>
      <c r="D94" s="28" t="str">
        <f>[2]耳鼻喉科!$N$6</f>
        <v>28.6x</v>
      </c>
      <c r="E94" s="28">
        <f>[2]耳鼻喉科!$H$6</f>
        <v>28.3</v>
      </c>
      <c r="F94" s="28">
        <f>[2]耳鼻喉科!$B$6</f>
        <v>30.09</v>
      </c>
      <c r="G94" t="s">
        <v>59</v>
      </c>
      <c r="H94" t="s">
        <v>59</v>
      </c>
    </row>
    <row r="95" spans="1:8" x14ac:dyDescent="0.25">
      <c r="A95" t="s">
        <v>263</v>
      </c>
      <c r="B95" t="s">
        <v>14</v>
      </c>
      <c r="C95" t="s">
        <v>90</v>
      </c>
      <c r="D95" s="24">
        <f>[2]耳鼻喉科!$Q$6</f>
        <v>7.3346430910281599</v>
      </c>
      <c r="E95" s="24">
        <f>[2]耳鼻喉科!$K$6</f>
        <v>10.1932045303131</v>
      </c>
      <c r="F95" s="24">
        <f>[2]耳鼻喉科!$E$6</f>
        <v>14.1705842847549</v>
      </c>
      <c r="G95" t="s">
        <v>59</v>
      </c>
      <c r="H95" t="s">
        <v>59</v>
      </c>
    </row>
    <row r="96" spans="1:8" x14ac:dyDescent="0.25">
      <c r="A96" t="s">
        <v>264</v>
      </c>
      <c r="B96" t="s">
        <v>59</v>
      </c>
      <c r="C96" t="s">
        <v>90</v>
      </c>
      <c r="D96" s="24" t="str">
        <f>[2]耳鼻喉科!$O$7</f>
        <v>内镜下鼓室成形术</v>
      </c>
      <c r="E96" s="24" t="str">
        <f>[2]耳鼻喉科!$I$7</f>
        <v>鼓膜穿刺抽吸术(中耳抽吸术)</v>
      </c>
      <c r="F96" s="24" t="str">
        <f>[2]耳鼻喉科!$C$7</f>
        <v>鼓室成形术，I型（鼓膜修补术），经耳镜</v>
      </c>
      <c r="G96" t="s">
        <v>59</v>
      </c>
      <c r="H96" t="s">
        <v>59</v>
      </c>
    </row>
    <row r="97" spans="1:8" x14ac:dyDescent="0.25">
      <c r="A97" t="s">
        <v>265</v>
      </c>
      <c r="B97" t="s">
        <v>59</v>
      </c>
      <c r="C97" t="s">
        <v>90</v>
      </c>
      <c r="D97" s="25" t="str">
        <f>[2]耳鼻喉科!$N$7</f>
        <v>19.4x</v>
      </c>
      <c r="E97" s="25">
        <f>[2]耳鼻喉科!$H$7</f>
        <v>20.09</v>
      </c>
      <c r="F97" s="25" t="str">
        <f>[2]耳鼻喉科!$B$7</f>
        <v>19.4</v>
      </c>
      <c r="G97" t="s">
        <v>59</v>
      </c>
      <c r="H97" t="s">
        <v>59</v>
      </c>
    </row>
    <row r="98" spans="1:8" x14ac:dyDescent="0.25">
      <c r="A98" t="s">
        <v>266</v>
      </c>
      <c r="B98" t="s">
        <v>14</v>
      </c>
      <c r="C98" t="s">
        <v>90</v>
      </c>
      <c r="D98" s="26">
        <f>[2]耳鼻喉科!$Q$7</f>
        <v>7.0726915520628699</v>
      </c>
      <c r="E98" s="26">
        <f>[2]耳鼻喉科!$K$7</f>
        <v>6.7288474350433001</v>
      </c>
      <c r="F98" s="26">
        <f>[2]耳鼻喉科!$E$7</f>
        <v>8.1934184016118206</v>
      </c>
      <c r="G98" t="s">
        <v>59</v>
      </c>
      <c r="H98" t="s">
        <v>59</v>
      </c>
    </row>
    <row r="99" spans="1:8" x14ac:dyDescent="0.25">
      <c r="A99" t="s">
        <v>267</v>
      </c>
      <c r="B99" t="s">
        <v>59</v>
      </c>
      <c r="C99" t="s">
        <v>90</v>
      </c>
      <c r="D99" s="24" t="str">
        <f>[2]耳鼻喉科!$O$8</f>
        <v>中耳抽吸术</v>
      </c>
      <c r="E99" s="24" t="str">
        <f>[2]耳鼻喉科!$I$8</f>
        <v>鼓室成形术，I型（鼓膜修补术），经耳镜</v>
      </c>
      <c r="F99" s="24" t="str">
        <f>[2]耳鼻喉科!$C$8</f>
        <v>扁桃体伴腺样体切除术，经内窥镜</v>
      </c>
      <c r="G99" t="s">
        <v>59</v>
      </c>
      <c r="H99" t="s">
        <v>59</v>
      </c>
    </row>
    <row r="100" spans="1:8" x14ac:dyDescent="0.25">
      <c r="A100" t="s">
        <v>268</v>
      </c>
      <c r="B100" t="s">
        <v>59</v>
      </c>
      <c r="C100" t="s">
        <v>90</v>
      </c>
      <c r="D100" s="10">
        <f>[2]耳鼻喉科!$N$8</f>
        <v>20.09</v>
      </c>
      <c r="E100" s="10">
        <f>[2]耳鼻喉科!$H$8</f>
        <v>19.399999999999999</v>
      </c>
      <c r="F100" s="10" t="str">
        <f>[2]耳鼻喉科!$B$8</f>
        <v>28.3</v>
      </c>
      <c r="G100" t="s">
        <v>59</v>
      </c>
      <c r="H100" t="s">
        <v>59</v>
      </c>
    </row>
    <row r="101" spans="1:8" x14ac:dyDescent="0.25">
      <c r="A101" t="s">
        <v>269</v>
      </c>
      <c r="B101" t="s">
        <v>14</v>
      </c>
      <c r="C101" t="s">
        <v>90</v>
      </c>
      <c r="D101" s="10">
        <f>[2]耳鼻喉科!$Q$8</f>
        <v>6.4178127046496396</v>
      </c>
      <c r="E101" s="10">
        <f>[2]耳鼻喉科!$K$8</f>
        <v>5.7961359093937403</v>
      </c>
      <c r="F101" s="10">
        <f>[2]耳鼻喉科!$E$8</f>
        <v>8.3948959032908004</v>
      </c>
      <c r="G101" t="s">
        <v>59</v>
      </c>
      <c r="H101" t="s">
        <v>59</v>
      </c>
    </row>
  </sheetData>
  <phoneticPr fontId="10" type="noConversion"/>
  <conditionalFormatting sqref="D88">
    <cfRule type="duplicateValues" dxfId="83" priority="12"/>
  </conditionalFormatting>
  <conditionalFormatting sqref="E88">
    <cfRule type="duplicateValues" dxfId="82" priority="4"/>
  </conditionalFormatting>
  <conditionalFormatting sqref="F88">
    <cfRule type="duplicateValues" dxfId="81" priority="8"/>
  </conditionalFormatting>
  <conditionalFormatting sqref="D91">
    <cfRule type="duplicateValues" dxfId="80" priority="11"/>
  </conditionalFormatting>
  <conditionalFormatting sqref="E91">
    <cfRule type="duplicateValues" dxfId="79" priority="3"/>
  </conditionalFormatting>
  <conditionalFormatting sqref="F91">
    <cfRule type="duplicateValues" dxfId="78" priority="7"/>
  </conditionalFormatting>
  <conditionalFormatting sqref="D94">
    <cfRule type="duplicateValues" dxfId="77" priority="9"/>
  </conditionalFormatting>
  <conditionalFormatting sqref="E94">
    <cfRule type="duplicateValues" dxfId="76" priority="1"/>
  </conditionalFormatting>
  <conditionalFormatting sqref="F94">
    <cfRule type="duplicateValues" dxfId="75" priority="5"/>
  </conditionalFormatting>
  <conditionalFormatting sqref="D98">
    <cfRule type="duplicateValues" dxfId="74" priority="10"/>
  </conditionalFormatting>
  <conditionalFormatting sqref="E98">
    <cfRule type="duplicateValues" dxfId="73" priority="2"/>
  </conditionalFormatting>
  <conditionalFormatting sqref="F98">
    <cfRule type="duplicateValues" dxfId="72" priority="6"/>
  </conditionalFormatting>
  <pageMargins left="0.69930555555555596" right="0.69930555555555596" top="0.75" bottom="0.75" header="0.3" footer="0.3"/>
  <ignoredErrors>
    <ignoredError sqref="A2:B31 G21:H31 G2:H5 G6:H14 G15:H15 G16:H17 G18:H20 G34:H57 G58:H59 G60:H71 G72:H86 G87:H101 A34:B101 A1:H1" numberStoredAsText="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101"/>
  <sheetViews>
    <sheetView topLeftCell="A22"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20.421860019175501</v>
      </c>
      <c r="E2" s="5">
        <v>27.552031714568901</v>
      </c>
      <c r="F2" s="5">
        <v>26.113013698630098</v>
      </c>
      <c r="G2" t="s">
        <v>16</v>
      </c>
      <c r="H2" t="s">
        <v>17</v>
      </c>
    </row>
    <row r="3" spans="1:8" x14ac:dyDescent="0.25">
      <c r="A3" t="s">
        <v>18</v>
      </c>
      <c r="B3" t="s">
        <v>14</v>
      </c>
      <c r="C3" t="s">
        <v>15</v>
      </c>
      <c r="D3" s="5">
        <v>59.154929577464799</v>
      </c>
      <c r="E3" s="5">
        <v>37.050359712230197</v>
      </c>
      <c r="F3" s="5">
        <v>31.8032786885246</v>
      </c>
      <c r="G3" t="s">
        <v>19</v>
      </c>
      <c r="H3" t="s">
        <v>20</v>
      </c>
    </row>
    <row r="4" spans="1:8" x14ac:dyDescent="0.25">
      <c r="A4" t="s">
        <v>21</v>
      </c>
      <c r="B4" t="s">
        <v>14</v>
      </c>
      <c r="C4" t="s">
        <v>15</v>
      </c>
      <c r="D4" s="5">
        <v>75.586854460093903</v>
      </c>
      <c r="E4" s="5">
        <v>44.964028776978402</v>
      </c>
      <c r="F4" s="5">
        <v>33.442622950819697</v>
      </c>
      <c r="G4" t="s">
        <v>22</v>
      </c>
      <c r="H4" t="s">
        <v>23</v>
      </c>
    </row>
    <row r="5" spans="1:8" x14ac:dyDescent="0.25">
      <c r="A5" t="s">
        <v>24</v>
      </c>
      <c r="B5" t="s">
        <v>14</v>
      </c>
      <c r="C5" t="s">
        <v>15</v>
      </c>
      <c r="D5" s="5">
        <v>96.93</v>
      </c>
      <c r="E5" s="5">
        <v>97.03</v>
      </c>
      <c r="F5" s="5">
        <v>91.27</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v>
      </c>
      <c r="E10" s="6">
        <v>0</v>
      </c>
      <c r="F10" s="6">
        <v>0.17</v>
      </c>
      <c r="G10" t="s">
        <v>58</v>
      </c>
      <c r="H10" t="s">
        <v>59</v>
      </c>
    </row>
    <row r="11" spans="1:8" x14ac:dyDescent="0.25">
      <c r="A11" t="s">
        <v>63</v>
      </c>
      <c r="B11" t="s">
        <v>64</v>
      </c>
      <c r="C11" t="s">
        <v>61</v>
      </c>
      <c r="D11" s="5">
        <v>5.3699181245833403</v>
      </c>
      <c r="E11" s="5">
        <v>6.95733323443923</v>
      </c>
      <c r="F11" s="5">
        <v>3.5202450333759701</v>
      </c>
      <c r="G11" t="s">
        <v>35</v>
      </c>
      <c r="H11" t="s">
        <v>65</v>
      </c>
    </row>
    <row r="12" spans="1:8" x14ac:dyDescent="0.25">
      <c r="A12" t="s">
        <v>66</v>
      </c>
      <c r="B12" t="s">
        <v>14</v>
      </c>
      <c r="C12" t="s">
        <v>61</v>
      </c>
      <c r="D12" s="6">
        <v>91.88</v>
      </c>
      <c r="E12" s="6">
        <v>84.6</v>
      </c>
      <c r="F12" s="6">
        <v>79.61</v>
      </c>
      <c r="G12" t="s">
        <v>39</v>
      </c>
      <c r="H12" t="s">
        <v>67</v>
      </c>
    </row>
    <row r="13" spans="1:8" x14ac:dyDescent="0.25">
      <c r="A13" t="s">
        <v>68</v>
      </c>
      <c r="B13" t="s">
        <v>14</v>
      </c>
      <c r="C13" t="s">
        <v>61</v>
      </c>
      <c r="D13" s="31">
        <v>98.01</v>
      </c>
      <c r="E13" s="31">
        <v>98.85</v>
      </c>
      <c r="F13" s="31">
        <v>97.29</v>
      </c>
      <c r="G13" t="s">
        <v>39</v>
      </c>
      <c r="H13" t="s">
        <v>69</v>
      </c>
    </row>
    <row r="14" spans="1:8" x14ac:dyDescent="0.25">
      <c r="A14" t="s">
        <v>74</v>
      </c>
      <c r="B14" t="s">
        <v>14</v>
      </c>
      <c r="C14" t="s">
        <v>75</v>
      </c>
      <c r="D14" s="18">
        <f>(506082.6+104028.4)/11037762*100</f>
        <v>5.527488271626078</v>
      </c>
      <c r="E14" s="18">
        <f>498880/10047876*100</f>
        <v>4.9650294251242757</v>
      </c>
      <c r="F14" s="18">
        <f>157990/11594201*100</f>
        <v>1.3626639731362256</v>
      </c>
      <c r="G14" t="s">
        <v>35</v>
      </c>
      <c r="H14" t="s">
        <v>76</v>
      </c>
    </row>
    <row r="15" spans="1:8" x14ac:dyDescent="0.25">
      <c r="A15" t="s">
        <v>91</v>
      </c>
      <c r="B15" t="s">
        <v>92</v>
      </c>
      <c r="C15" t="s">
        <v>15</v>
      </c>
      <c r="D15" s="6">
        <v>7.04</v>
      </c>
      <c r="E15" s="6">
        <v>7.41</v>
      </c>
      <c r="F15" s="6">
        <v>8.25</v>
      </c>
      <c r="G15" t="s">
        <v>93</v>
      </c>
      <c r="H15" t="s">
        <v>94</v>
      </c>
    </row>
    <row r="16" spans="1:8" x14ac:dyDescent="0.25">
      <c r="A16" t="s">
        <v>95</v>
      </c>
      <c r="B16" t="s">
        <v>59</v>
      </c>
      <c r="C16" t="s">
        <v>34</v>
      </c>
      <c r="D16" s="6">
        <v>0.98</v>
      </c>
      <c r="E16" s="6">
        <v>0.96</v>
      </c>
      <c r="F16" s="6">
        <v>1.1200000000000001</v>
      </c>
      <c r="G16" t="s">
        <v>96</v>
      </c>
      <c r="H16" t="s">
        <v>59</v>
      </c>
    </row>
    <row r="17" spans="1:8" x14ac:dyDescent="0.25">
      <c r="A17" t="s">
        <v>97</v>
      </c>
      <c r="B17" t="s">
        <v>98</v>
      </c>
      <c r="C17" t="s">
        <v>34</v>
      </c>
      <c r="D17" s="6">
        <v>73</v>
      </c>
      <c r="E17" s="6">
        <v>73</v>
      </c>
      <c r="F17" s="6">
        <v>84</v>
      </c>
      <c r="G17" t="s">
        <v>99</v>
      </c>
      <c r="H17" t="s">
        <v>59</v>
      </c>
    </row>
    <row r="18" spans="1:8" x14ac:dyDescent="0.25">
      <c r="A18" t="s">
        <v>104</v>
      </c>
      <c r="B18" t="s">
        <v>105</v>
      </c>
      <c r="C18" t="s">
        <v>15</v>
      </c>
      <c r="D18" s="6">
        <v>20</v>
      </c>
      <c r="E18" s="6">
        <v>20</v>
      </c>
      <c r="F18" s="6">
        <v>20</v>
      </c>
      <c r="G18" t="s">
        <v>58</v>
      </c>
      <c r="H18" t="s">
        <v>59</v>
      </c>
    </row>
    <row r="19" spans="1:8" x14ac:dyDescent="0.25">
      <c r="A19" t="s">
        <v>106</v>
      </c>
      <c r="B19" t="s">
        <v>105</v>
      </c>
      <c r="C19" t="s">
        <v>15</v>
      </c>
      <c r="D19" s="6">
        <v>23</v>
      </c>
      <c r="E19" s="6">
        <v>20</v>
      </c>
      <c r="F19" s="6">
        <v>20</v>
      </c>
      <c r="G19" t="s">
        <v>58</v>
      </c>
      <c r="H19" t="s">
        <v>59</v>
      </c>
    </row>
    <row r="20" spans="1:8" x14ac:dyDescent="0.25">
      <c r="A20" t="s">
        <v>107</v>
      </c>
      <c r="B20" t="s">
        <v>14</v>
      </c>
      <c r="C20" t="s">
        <v>15</v>
      </c>
      <c r="D20" s="6">
        <v>91.45</v>
      </c>
      <c r="E20" s="6">
        <v>104.52</v>
      </c>
      <c r="F20" s="6">
        <v>134.52000000000001</v>
      </c>
      <c r="G20" t="s">
        <v>58</v>
      </c>
      <c r="H20" t="s">
        <v>108</v>
      </c>
    </row>
    <row r="21" spans="1:8" x14ac:dyDescent="0.25">
      <c r="A21" t="s">
        <v>112</v>
      </c>
      <c r="B21" t="s">
        <v>59</v>
      </c>
      <c r="C21" t="s">
        <v>102</v>
      </c>
      <c r="D21" s="5">
        <f t="shared" ref="D21:F21" si="0">D43/D19</f>
        <v>0.30434782608695654</v>
      </c>
      <c r="E21" s="5">
        <f t="shared" si="0"/>
        <v>0.3</v>
      </c>
      <c r="F21" s="5">
        <f t="shared" si="0"/>
        <v>0.3</v>
      </c>
      <c r="G21" t="s">
        <v>110</v>
      </c>
      <c r="H21" t="s">
        <v>113</v>
      </c>
    </row>
    <row r="22" spans="1:8" x14ac:dyDescent="0.25">
      <c r="A22" t="s">
        <v>114</v>
      </c>
      <c r="B22" t="s">
        <v>59</v>
      </c>
      <c r="C22" t="s">
        <v>102</v>
      </c>
      <c r="D22" s="5">
        <f t="shared" ref="D22:F22" si="1">D44/D19</f>
        <v>0.52173913043478259</v>
      </c>
      <c r="E22" s="5">
        <f t="shared" si="1"/>
        <v>0.6</v>
      </c>
      <c r="F22" s="5">
        <f t="shared" si="1"/>
        <v>0.55000000000000004</v>
      </c>
      <c r="G22" t="s">
        <v>110</v>
      </c>
      <c r="H22" t="s">
        <v>115</v>
      </c>
    </row>
    <row r="23" spans="1:8" x14ac:dyDescent="0.25">
      <c r="A23" t="s">
        <v>116</v>
      </c>
      <c r="B23" t="s">
        <v>117</v>
      </c>
      <c r="C23" t="s">
        <v>118</v>
      </c>
      <c r="D23" s="5">
        <v>23.0652358</v>
      </c>
      <c r="E23" s="5">
        <v>21.8436333</v>
      </c>
      <c r="F23" s="5">
        <v>30.877350866666699</v>
      </c>
      <c r="G23" t="s">
        <v>119</v>
      </c>
      <c r="H23" t="s">
        <v>59</v>
      </c>
    </row>
    <row r="24" spans="1:8" x14ac:dyDescent="0.25">
      <c r="A24" t="s">
        <v>120</v>
      </c>
      <c r="B24" t="s">
        <v>117</v>
      </c>
      <c r="C24" t="s">
        <v>118</v>
      </c>
      <c r="D24" s="5">
        <v>43.5756072</v>
      </c>
      <c r="E24" s="5">
        <v>41.750459849999999</v>
      </c>
      <c r="F24" s="5">
        <v>61.318764999999999</v>
      </c>
      <c r="G24" t="s">
        <v>121</v>
      </c>
      <c r="H24" t="s">
        <v>59</v>
      </c>
    </row>
    <row r="25" spans="1:8" x14ac:dyDescent="0.25">
      <c r="A25" t="s">
        <v>122</v>
      </c>
      <c r="B25" t="s">
        <v>117</v>
      </c>
      <c r="C25" t="s">
        <v>118</v>
      </c>
      <c r="D25" s="5">
        <v>20.958869422989501</v>
      </c>
      <c r="E25" s="5">
        <v>21.8436333</v>
      </c>
      <c r="F25" s="5">
        <v>23.158013149999999</v>
      </c>
      <c r="G25" t="s">
        <v>123</v>
      </c>
      <c r="H25" t="s">
        <v>59</v>
      </c>
    </row>
    <row r="26" spans="1:8" x14ac:dyDescent="0.25">
      <c r="A26" t="s">
        <v>124</v>
      </c>
      <c r="B26" t="s">
        <v>117</v>
      </c>
      <c r="C26" t="s">
        <v>118</v>
      </c>
      <c r="D26" s="5">
        <v>39.596190095411202</v>
      </c>
      <c r="E26" s="5">
        <v>41.750459849999999</v>
      </c>
      <c r="F26" s="5">
        <v>45.989073750000003</v>
      </c>
      <c r="G26" t="s">
        <v>125</v>
      </c>
      <c r="H26" t="s">
        <v>59</v>
      </c>
    </row>
    <row r="27" spans="1:8" x14ac:dyDescent="0.25">
      <c r="A27" t="s">
        <v>126</v>
      </c>
      <c r="B27" t="s">
        <v>127</v>
      </c>
      <c r="C27" t="s">
        <v>118</v>
      </c>
      <c r="D27" s="5">
        <v>2.8759295499021502</v>
      </c>
      <c r="E27" s="5">
        <v>3.4936073059360702</v>
      </c>
      <c r="F27" s="5">
        <v>4.4840182648401798</v>
      </c>
      <c r="G27" t="s">
        <v>39</v>
      </c>
      <c r="H27" t="s">
        <v>128</v>
      </c>
    </row>
    <row r="28" spans="1:8" x14ac:dyDescent="0.25">
      <c r="A28" t="s">
        <v>129</v>
      </c>
      <c r="B28" t="s">
        <v>14</v>
      </c>
      <c r="C28" t="s">
        <v>118</v>
      </c>
      <c r="D28" s="5">
        <v>40.332850700145102</v>
      </c>
      <c r="E28" s="5">
        <v>40.923841134582602</v>
      </c>
      <c r="F28" s="5">
        <v>36.720296226098903</v>
      </c>
      <c r="G28" t="s">
        <v>130</v>
      </c>
      <c r="H28" t="s">
        <v>131</v>
      </c>
    </row>
    <row r="29" spans="1:8" x14ac:dyDescent="0.25">
      <c r="A29" t="s">
        <v>132</v>
      </c>
      <c r="B29" t="s">
        <v>117</v>
      </c>
      <c r="C29" t="s">
        <v>118</v>
      </c>
      <c r="D29" s="5">
        <v>1143.744387</v>
      </c>
      <c r="E29" s="5">
        <v>1067.526053</v>
      </c>
      <c r="F29" s="5">
        <v>1261.3195169999999</v>
      </c>
      <c r="G29" t="s">
        <v>59</v>
      </c>
      <c r="H29" t="s">
        <v>133</v>
      </c>
    </row>
    <row r="30" spans="1:8" x14ac:dyDescent="0.25">
      <c r="A30" t="s">
        <v>134</v>
      </c>
      <c r="B30" t="s">
        <v>117</v>
      </c>
      <c r="C30" t="s">
        <v>118</v>
      </c>
      <c r="D30" s="5">
        <v>461.30471599999998</v>
      </c>
      <c r="E30" s="5">
        <v>436.87266599999998</v>
      </c>
      <c r="F30" s="5">
        <v>463.16026299999999</v>
      </c>
      <c r="G30" t="s">
        <v>59</v>
      </c>
      <c r="H30" t="s">
        <v>59</v>
      </c>
    </row>
    <row r="31" spans="1:8" x14ac:dyDescent="0.25">
      <c r="A31" t="s">
        <v>135</v>
      </c>
      <c r="B31" t="s">
        <v>117</v>
      </c>
      <c r="C31" t="s">
        <v>118</v>
      </c>
      <c r="D31" s="5">
        <v>871.51214400000003</v>
      </c>
      <c r="E31" s="5">
        <v>835.00919699999997</v>
      </c>
      <c r="F31" s="5">
        <v>919.781475</v>
      </c>
      <c r="G31" t="s">
        <v>59</v>
      </c>
      <c r="H31" t="s">
        <v>136</v>
      </c>
    </row>
    <row r="32" spans="1:8" x14ac:dyDescent="0.25">
      <c r="A32" t="s">
        <v>216</v>
      </c>
      <c r="B32" t="s">
        <v>117</v>
      </c>
      <c r="D32" s="17">
        <v>902.97</v>
      </c>
      <c r="E32" s="17">
        <v>682.74</v>
      </c>
      <c r="F32" s="17">
        <v>648.64</v>
      </c>
    </row>
    <row r="33" spans="1:8" x14ac:dyDescent="0.25">
      <c r="A33" t="s">
        <v>143</v>
      </c>
      <c r="B33" t="s">
        <v>14</v>
      </c>
      <c r="D33" s="15">
        <v>13.41</v>
      </c>
      <c r="E33" s="15">
        <v>-4.84</v>
      </c>
      <c r="F33" s="15">
        <v>-16.79</v>
      </c>
    </row>
    <row r="34" spans="1:8" x14ac:dyDescent="0.25">
      <c r="A34" t="s">
        <v>137</v>
      </c>
      <c r="B34" t="s">
        <v>138</v>
      </c>
      <c r="C34" t="s">
        <v>139</v>
      </c>
      <c r="D34" s="6"/>
      <c r="E34" s="6"/>
      <c r="F34" s="6"/>
      <c r="G34" t="s">
        <v>35</v>
      </c>
      <c r="H34" t="s">
        <v>140</v>
      </c>
    </row>
    <row r="35" spans="1:8" x14ac:dyDescent="0.25">
      <c r="A35" t="s">
        <v>217</v>
      </c>
      <c r="B35" t="s">
        <v>14</v>
      </c>
      <c r="C35" t="s">
        <v>118</v>
      </c>
      <c r="D35" s="5">
        <v>28.403451216237499</v>
      </c>
      <c r="E35" s="5">
        <v>26.093724477935499</v>
      </c>
      <c r="F35" s="5">
        <v>25.0903535333149</v>
      </c>
      <c r="G35" t="s">
        <v>22</v>
      </c>
      <c r="H35" t="s">
        <v>218</v>
      </c>
    </row>
    <row r="36" spans="1:8" x14ac:dyDescent="0.25">
      <c r="A36" t="s">
        <v>219</v>
      </c>
      <c r="B36" t="s">
        <v>14</v>
      </c>
      <c r="C36" t="s">
        <v>118</v>
      </c>
      <c r="D36" s="5">
        <v>71.596548783762501</v>
      </c>
      <c r="E36" s="5">
        <v>73.906275522064504</v>
      </c>
      <c r="F36" s="5">
        <v>74.909646466685103</v>
      </c>
      <c r="G36" t="s">
        <v>22</v>
      </c>
      <c r="H36" t="s">
        <v>220</v>
      </c>
    </row>
    <row r="37" spans="1:8" x14ac:dyDescent="0.25">
      <c r="A37" t="s">
        <v>144</v>
      </c>
      <c r="B37" t="s">
        <v>14</v>
      </c>
      <c r="C37" t="s">
        <v>118</v>
      </c>
      <c r="D37" s="5">
        <v>7.1397165236210096</v>
      </c>
      <c r="E37" s="5">
        <v>-15.3643435614895</v>
      </c>
      <c r="F37" s="5">
        <v>14.738808321891099</v>
      </c>
      <c r="G37" t="s">
        <v>35</v>
      </c>
      <c r="H37" t="s">
        <v>145</v>
      </c>
    </row>
    <row r="38" spans="1:8" x14ac:dyDescent="0.25">
      <c r="A38" t="s">
        <v>146</v>
      </c>
      <c r="B38" t="s">
        <v>14</v>
      </c>
      <c r="C38" t="s">
        <v>118</v>
      </c>
      <c r="D38" s="5">
        <v>-3.1184659984317999</v>
      </c>
      <c r="E38" s="5">
        <v>-8.0294087258114892</v>
      </c>
      <c r="F38" s="5">
        <v>-26.010613182613799</v>
      </c>
      <c r="G38" t="s">
        <v>35</v>
      </c>
      <c r="H38" t="s">
        <v>147</v>
      </c>
    </row>
    <row r="39" spans="1:8" x14ac:dyDescent="0.25">
      <c r="A39" t="s">
        <v>148</v>
      </c>
      <c r="B39" t="s">
        <v>14</v>
      </c>
      <c r="C39" t="s">
        <v>118</v>
      </c>
      <c r="D39" s="5">
        <v>2.6750138118071298</v>
      </c>
      <c r="E39" s="5">
        <v>-3.7380884620251198</v>
      </c>
      <c r="F39" s="5">
        <v>9.2472867481980199</v>
      </c>
      <c r="G39" t="s">
        <v>35</v>
      </c>
      <c r="H39" t="s">
        <v>149</v>
      </c>
    </row>
    <row r="40" spans="1:8" x14ac:dyDescent="0.25">
      <c r="A40" t="s">
        <v>150</v>
      </c>
      <c r="B40" t="s">
        <v>14</v>
      </c>
      <c r="C40" t="s">
        <v>118</v>
      </c>
      <c r="D40" s="5">
        <v>13.7267043755855</v>
      </c>
      <c r="E40" s="5">
        <v>15.615297965529001</v>
      </c>
      <c r="F40" s="5">
        <v>-22.207122706856602</v>
      </c>
      <c r="G40" t="s">
        <v>35</v>
      </c>
      <c r="H40" t="s">
        <v>151</v>
      </c>
    </row>
    <row r="41" spans="1:8" x14ac:dyDescent="0.25">
      <c r="A41" t="s">
        <v>152</v>
      </c>
      <c r="B41" t="s">
        <v>14</v>
      </c>
      <c r="C41" t="s">
        <v>118</v>
      </c>
      <c r="D41" s="5">
        <v>-14.632257576196601</v>
      </c>
      <c r="E41" s="5">
        <v>-49.647191728054899</v>
      </c>
      <c r="F41" s="5">
        <v>7.7634521044928002</v>
      </c>
      <c r="G41" t="s">
        <v>35</v>
      </c>
      <c r="H41" t="s">
        <v>153</v>
      </c>
    </row>
    <row r="42" spans="1:8" x14ac:dyDescent="0.25">
      <c r="A42" t="s">
        <v>164</v>
      </c>
      <c r="B42" t="s">
        <v>59</v>
      </c>
      <c r="C42" t="s">
        <v>102</v>
      </c>
      <c r="D42" s="6">
        <v>0.57999999999999996</v>
      </c>
      <c r="E42" s="6">
        <v>0.5</v>
      </c>
      <c r="F42" s="6">
        <v>0.55000000000000004</v>
      </c>
      <c r="G42" t="s">
        <v>165</v>
      </c>
      <c r="H42" t="s">
        <v>166</v>
      </c>
    </row>
    <row r="43" spans="1:8" x14ac:dyDescent="0.25">
      <c r="A43" t="s">
        <v>167</v>
      </c>
      <c r="B43" t="s">
        <v>101</v>
      </c>
      <c r="C43" t="s">
        <v>102</v>
      </c>
      <c r="D43" s="6">
        <v>7</v>
      </c>
      <c r="E43" s="6">
        <v>6</v>
      </c>
      <c r="F43" s="6">
        <v>6</v>
      </c>
      <c r="G43" t="s">
        <v>168</v>
      </c>
      <c r="H43" t="s">
        <v>59</v>
      </c>
    </row>
    <row r="44" spans="1:8" x14ac:dyDescent="0.25">
      <c r="A44" t="s">
        <v>169</v>
      </c>
      <c r="B44" t="s">
        <v>101</v>
      </c>
      <c r="C44" t="s">
        <v>102</v>
      </c>
      <c r="D44" s="6">
        <v>12</v>
      </c>
      <c r="E44" s="6">
        <v>12</v>
      </c>
      <c r="F44" s="6">
        <v>11</v>
      </c>
      <c r="G44" t="s">
        <v>168</v>
      </c>
      <c r="H44" t="s">
        <v>59</v>
      </c>
    </row>
    <row r="45" spans="1:8" x14ac:dyDescent="0.25">
      <c r="A45" t="s">
        <v>221</v>
      </c>
      <c r="B45" t="s">
        <v>14</v>
      </c>
      <c r="C45" t="s">
        <v>102</v>
      </c>
      <c r="D45" s="6">
        <v>28.57</v>
      </c>
      <c r="E45" s="6">
        <v>33.33</v>
      </c>
      <c r="F45" s="6">
        <v>16.670000000000002</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42.86</v>
      </c>
      <c r="E47" s="6">
        <v>50</v>
      </c>
      <c r="F47" s="6">
        <v>50</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0.14299999999999999</v>
      </c>
      <c r="E54" s="6">
        <v>0</v>
      </c>
      <c r="F54" s="6">
        <v>0</v>
      </c>
      <c r="G54" t="s">
        <v>205</v>
      </c>
      <c r="H54" t="s">
        <v>59</v>
      </c>
    </row>
    <row r="55" spans="1:8" x14ac:dyDescent="0.25">
      <c r="A55" t="s">
        <v>206</v>
      </c>
      <c r="B55" t="s">
        <v>207</v>
      </c>
      <c r="C55" t="s">
        <v>176</v>
      </c>
      <c r="D55" s="6">
        <v>0.75900000000000001</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3.5474592521572399</v>
      </c>
      <c r="E58" s="9">
        <v>4.0634291377601599</v>
      </c>
      <c r="F58" s="9">
        <v>4.7945205479452104</v>
      </c>
      <c r="G58" t="s">
        <v>59</v>
      </c>
      <c r="H58" t="s">
        <v>213</v>
      </c>
    </row>
    <row r="59" spans="1:8" x14ac:dyDescent="0.25">
      <c r="A59" t="s">
        <v>214</v>
      </c>
      <c r="B59" t="s">
        <v>14</v>
      </c>
      <c r="C59" t="s">
        <v>15</v>
      </c>
      <c r="D59" s="5">
        <v>0.28763183125599201</v>
      </c>
      <c r="E59" s="5">
        <v>1.3875123885034699</v>
      </c>
      <c r="F59" s="5">
        <v>1.3698630136986301</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[1]疼痛科!$O$4</f>
        <v>腰椎间盘突出</v>
      </c>
      <c r="E72" s="10" t="str">
        <f>[1]疼痛科!$I$4</f>
        <v>腰椎间盘突出</v>
      </c>
      <c r="F72" s="10" t="str">
        <f>[1]疼痛科!$C$4</f>
        <v>腰椎间盘突出</v>
      </c>
      <c r="G72" t="s">
        <v>59</v>
      </c>
      <c r="H72" t="s">
        <v>59</v>
      </c>
    </row>
    <row r="73" spans="1:8" x14ac:dyDescent="0.25">
      <c r="A73" t="s">
        <v>241</v>
      </c>
      <c r="B73" t="s">
        <v>59</v>
      </c>
      <c r="C73" t="s">
        <v>90</v>
      </c>
      <c r="D73" s="10" t="str">
        <f>[1]疼痛科!$N$4</f>
        <v>M51.0-51.2</v>
      </c>
      <c r="E73" s="10" t="str">
        <f>[1]疼痛科!$H$4</f>
        <v>M51.0-51.2</v>
      </c>
      <c r="F73" s="10" t="str">
        <f>[1]疼痛科!$B$4</f>
        <v>M51.0-51.2</v>
      </c>
      <c r="G73" t="s">
        <v>59</v>
      </c>
      <c r="H73" t="s">
        <v>59</v>
      </c>
    </row>
    <row r="74" spans="1:8" x14ac:dyDescent="0.25">
      <c r="A74" t="s">
        <v>242</v>
      </c>
      <c r="B74" t="s">
        <v>14</v>
      </c>
      <c r="C74" t="s">
        <v>90</v>
      </c>
      <c r="D74" s="10">
        <f>[1]疼痛科!$Q$4</f>
        <v>29.817833173537899</v>
      </c>
      <c r="E74" s="10">
        <f>[1]疼痛科!$K$4</f>
        <v>31.714568880079302</v>
      </c>
      <c r="F74" s="10">
        <f>[1]疼痛科!$E$4</f>
        <v>25.085616438356201</v>
      </c>
      <c r="G74" t="s">
        <v>59</v>
      </c>
      <c r="H74" t="s">
        <v>59</v>
      </c>
    </row>
    <row r="75" spans="1:8" x14ac:dyDescent="0.25">
      <c r="A75" t="s">
        <v>243</v>
      </c>
      <c r="B75" t="s">
        <v>59</v>
      </c>
      <c r="C75" t="s">
        <v>90</v>
      </c>
      <c r="D75" s="10" t="str">
        <f>[1]疼痛科!$O$5</f>
        <v>混合型颈椎病</v>
      </c>
      <c r="E75" s="10" t="str">
        <f>[1]疼痛科!$I$5</f>
        <v>混合型颈椎病</v>
      </c>
      <c r="F75" s="10" t="str">
        <f>[1]疼痛科!$C$5</f>
        <v>混合型颈椎病</v>
      </c>
      <c r="G75" t="s">
        <v>59</v>
      </c>
      <c r="H75" t="s">
        <v>59</v>
      </c>
    </row>
    <row r="76" spans="1:8" x14ac:dyDescent="0.25">
      <c r="A76" t="s">
        <v>244</v>
      </c>
      <c r="B76" t="s">
        <v>59</v>
      </c>
      <c r="C76" t="s">
        <v>90</v>
      </c>
      <c r="D76" s="10" t="str">
        <f>[1]疼痛科!$N$5</f>
        <v>M47.802</v>
      </c>
      <c r="E76" s="10" t="str">
        <f>[1]疼痛科!$H$5</f>
        <v>M47.802</v>
      </c>
      <c r="F76" s="10" t="str">
        <f>[1]疼痛科!$B$5</f>
        <v>M47.802</v>
      </c>
      <c r="G76" t="s">
        <v>59</v>
      </c>
      <c r="H76" t="s">
        <v>59</v>
      </c>
    </row>
    <row r="77" spans="1:8" x14ac:dyDescent="0.25">
      <c r="A77" t="s">
        <v>245</v>
      </c>
      <c r="B77" t="s">
        <v>14</v>
      </c>
      <c r="C77" t="s">
        <v>90</v>
      </c>
      <c r="D77" s="10">
        <f>[1]疼痛科!$Q$5</f>
        <v>20.997123681687398</v>
      </c>
      <c r="E77" s="10">
        <f>[1]疼痛科!$K$5</f>
        <v>17.046580773042599</v>
      </c>
      <c r="F77" s="10">
        <f>[1]疼痛科!$E$5</f>
        <v>20.376712328767098</v>
      </c>
      <c r="G77" t="s">
        <v>59</v>
      </c>
      <c r="H77" t="s">
        <v>59</v>
      </c>
    </row>
    <row r="78" spans="1:8" x14ac:dyDescent="0.25">
      <c r="A78" t="s">
        <v>246</v>
      </c>
      <c r="B78" t="s">
        <v>59</v>
      </c>
      <c r="C78" t="s">
        <v>90</v>
      </c>
      <c r="D78" s="10" t="str">
        <f>[1]疼痛科!$O$6</f>
        <v>骨质疏松伴有病理性骨折</v>
      </c>
      <c r="E78" s="10" t="str">
        <f>[1]疼痛科!$I$6</f>
        <v>骨质疏松伴有病理性骨折</v>
      </c>
      <c r="F78" s="10" t="str">
        <f>[1]疼痛科!$C$6</f>
        <v>骨质疏松伴有病理性骨折</v>
      </c>
      <c r="G78" t="s">
        <v>59</v>
      </c>
      <c r="H78" t="s">
        <v>59</v>
      </c>
    </row>
    <row r="79" spans="1:8" x14ac:dyDescent="0.25">
      <c r="A79" t="s">
        <v>247</v>
      </c>
      <c r="B79" t="s">
        <v>59</v>
      </c>
      <c r="C79" t="s">
        <v>90</v>
      </c>
      <c r="D79" s="10" t="str">
        <f>[1]疼痛科!$N$6</f>
        <v>M80</v>
      </c>
      <c r="E79" s="10" t="str">
        <f>[1]疼痛科!$H$6</f>
        <v>M80</v>
      </c>
      <c r="F79" s="10" t="str">
        <f>[1]疼痛科!$B$6</f>
        <v>M80</v>
      </c>
      <c r="G79" t="s">
        <v>59</v>
      </c>
      <c r="H79" t="s">
        <v>59</v>
      </c>
    </row>
    <row r="80" spans="1:8" x14ac:dyDescent="0.25">
      <c r="A80" t="s">
        <v>248</v>
      </c>
      <c r="B80" t="s">
        <v>14</v>
      </c>
      <c r="C80" t="s">
        <v>90</v>
      </c>
      <c r="D80" s="10">
        <f>[1]疼痛科!$Q$6</f>
        <v>6.8072866730584796</v>
      </c>
      <c r="E80" s="10">
        <f>[1]疼痛科!$K$6</f>
        <v>7.7304261645193302</v>
      </c>
      <c r="F80" s="10">
        <f>[1]疼痛科!$E$6</f>
        <v>7.27739726027397</v>
      </c>
      <c r="G80" t="s">
        <v>59</v>
      </c>
      <c r="H80" t="s">
        <v>59</v>
      </c>
    </row>
    <row r="81" spans="1:8" x14ac:dyDescent="0.25">
      <c r="A81" t="s">
        <v>249</v>
      </c>
      <c r="B81" t="s">
        <v>59</v>
      </c>
      <c r="C81" t="s">
        <v>90</v>
      </c>
      <c r="D81" s="10" t="str">
        <f>[1]疼痛科!$O$7</f>
        <v>膝关节病</v>
      </c>
      <c r="E81" s="10" t="str">
        <f>[1]疼痛科!$I$7</f>
        <v>膝关节病</v>
      </c>
      <c r="F81" s="10" t="str">
        <f>[1]疼痛科!$C$7</f>
        <v>膝关节病</v>
      </c>
      <c r="G81" t="s">
        <v>59</v>
      </c>
      <c r="H81" t="s">
        <v>59</v>
      </c>
    </row>
    <row r="82" spans="1:8" x14ac:dyDescent="0.25">
      <c r="A82" t="s">
        <v>250</v>
      </c>
      <c r="B82" t="s">
        <v>59</v>
      </c>
      <c r="C82" t="s">
        <v>90</v>
      </c>
      <c r="D82" s="10" t="str">
        <f>[1]疼痛科!$N$7</f>
        <v>M17</v>
      </c>
      <c r="E82" s="10" t="str">
        <f>[1]疼痛科!$H$7</f>
        <v>M17</v>
      </c>
      <c r="F82" s="10" t="str">
        <f>[1]疼痛科!$B$7</f>
        <v>M17</v>
      </c>
      <c r="G82" t="s">
        <v>59</v>
      </c>
      <c r="H82" t="s">
        <v>59</v>
      </c>
    </row>
    <row r="83" spans="1:8" x14ac:dyDescent="0.25">
      <c r="A83" t="s">
        <v>251</v>
      </c>
      <c r="B83" t="s">
        <v>14</v>
      </c>
      <c r="C83" t="s">
        <v>90</v>
      </c>
      <c r="D83" s="10">
        <f>[1]疼痛科!$Q$7</f>
        <v>4.5062320230105497</v>
      </c>
      <c r="E83" s="10">
        <f>[1]疼痛科!$K$7</f>
        <v>4.5589692765113998</v>
      </c>
      <c r="F83" s="10">
        <f>[1]疼痛科!$E$7</f>
        <v>3.9383561643835598</v>
      </c>
      <c r="G83" t="s">
        <v>59</v>
      </c>
      <c r="H83" t="s">
        <v>59</v>
      </c>
    </row>
    <row r="84" spans="1:8" x14ac:dyDescent="0.25">
      <c r="A84" t="s">
        <v>252</v>
      </c>
      <c r="B84" t="s">
        <v>59</v>
      </c>
      <c r="C84" t="s">
        <v>90</v>
      </c>
      <c r="D84" s="10" t="str">
        <f>[1]疼痛科!$O$8</f>
        <v>膝关节内紊乱</v>
      </c>
      <c r="E84" s="10" t="str">
        <f>[1]疼痛科!$I$8</f>
        <v>膝关节内紊乱</v>
      </c>
      <c r="F84" s="10" t="str">
        <f>[1]疼痛科!$C$8</f>
        <v>膝关节内紊乱</v>
      </c>
      <c r="G84" t="s">
        <v>59</v>
      </c>
      <c r="H84" t="s">
        <v>59</v>
      </c>
    </row>
    <row r="85" spans="1:8" x14ac:dyDescent="0.25">
      <c r="A85" t="s">
        <v>253</v>
      </c>
      <c r="B85" t="s">
        <v>59</v>
      </c>
      <c r="C85" t="s">
        <v>90</v>
      </c>
      <c r="D85" s="10" t="str">
        <f>[1]疼痛科!$N$8</f>
        <v>M23</v>
      </c>
      <c r="E85" s="10" t="str">
        <f>[1]疼痛科!$H$8</f>
        <v>M23</v>
      </c>
      <c r="F85" s="10" t="str">
        <f>[1]疼痛科!$B$8</f>
        <v>M23</v>
      </c>
      <c r="G85" t="s">
        <v>59</v>
      </c>
      <c r="H85" t="s">
        <v>59</v>
      </c>
    </row>
    <row r="86" spans="1:8" x14ac:dyDescent="0.25">
      <c r="A86" t="s">
        <v>254</v>
      </c>
      <c r="B86" t="s">
        <v>14</v>
      </c>
      <c r="C86" t="s">
        <v>90</v>
      </c>
      <c r="D86" s="10">
        <f>[1]疼痛科!$Q$8</f>
        <v>3.7392138063278999</v>
      </c>
      <c r="E86" s="10">
        <f>[1]疼痛科!$K$8</f>
        <v>3.3696729435084198</v>
      </c>
      <c r="F86" s="10">
        <f>[1]疼痛科!$E$8</f>
        <v>3.7671232876712302</v>
      </c>
      <c r="G86" t="s">
        <v>59</v>
      </c>
      <c r="H86" t="s">
        <v>59</v>
      </c>
    </row>
    <row r="87" spans="1:8" x14ac:dyDescent="0.25">
      <c r="A87" t="s">
        <v>255</v>
      </c>
      <c r="B87" t="s">
        <v>59</v>
      </c>
      <c r="C87" t="s">
        <v>90</v>
      </c>
      <c r="D87" s="22" t="str">
        <f>[2]疼痛科!$O$4</f>
        <v>内镜下腰椎间盘切除术</v>
      </c>
      <c r="E87" s="22" t="str">
        <f>[2]疼痛科!$I$4</f>
        <v>椎间盘切除术，后路法，经椎间盘镜</v>
      </c>
      <c r="F87" s="22" t="str">
        <f>[2]疼痛科!$C$4</f>
        <v>脊柱韧带松解术</v>
      </c>
      <c r="G87" t="s">
        <v>59</v>
      </c>
      <c r="H87" t="s">
        <v>59</v>
      </c>
    </row>
    <row r="88" spans="1:8" x14ac:dyDescent="0.25">
      <c r="A88" t="s">
        <v>256</v>
      </c>
      <c r="B88" t="s">
        <v>59</v>
      </c>
      <c r="C88" t="s">
        <v>90</v>
      </c>
      <c r="D88" s="23">
        <f>[2]疼痛科!$N$4</f>
        <v>80.510000000000005</v>
      </c>
      <c r="E88" s="23">
        <f>[2]疼痛科!$H$4</f>
        <v>80.59</v>
      </c>
      <c r="F88" s="23">
        <f>[2]疼痛科!$B$4</f>
        <v>80.489999999999995</v>
      </c>
      <c r="G88" t="s">
        <v>59</v>
      </c>
      <c r="H88" t="s">
        <v>59</v>
      </c>
    </row>
    <row r="89" spans="1:8" x14ac:dyDescent="0.25">
      <c r="A89" t="s">
        <v>257</v>
      </c>
      <c r="B89" t="s">
        <v>14</v>
      </c>
      <c r="C89" t="s">
        <v>90</v>
      </c>
      <c r="D89" s="24">
        <f>[2]疼痛科!$Q$4</f>
        <v>53.521126760563398</v>
      </c>
      <c r="E89" s="24">
        <f>[2]疼痛科!$K$4</f>
        <v>35.611510791366896</v>
      </c>
      <c r="F89" s="24">
        <f>[2]疼痛科!$E$4</f>
        <v>36.065573770491802</v>
      </c>
      <c r="G89" t="s">
        <v>59</v>
      </c>
      <c r="H89" t="s">
        <v>59</v>
      </c>
    </row>
    <row r="90" spans="1:8" x14ac:dyDescent="0.25">
      <c r="A90" t="s">
        <v>258</v>
      </c>
      <c r="B90" t="s">
        <v>59</v>
      </c>
      <c r="C90" t="s">
        <v>90</v>
      </c>
      <c r="D90" s="25" t="str">
        <f>[2]疼痛科!$O$5</f>
        <v>经皮椎骨成形术</v>
      </c>
      <c r="E90" s="25" t="str">
        <f>[2]疼痛科!$I$5</f>
        <v>肌肉筋膜减压术</v>
      </c>
      <c r="F90" s="25" t="str">
        <f>[2]疼痛科!$C$5</f>
        <v>椎间盘切除术，后路法，经椎间盘镜</v>
      </c>
      <c r="G90" t="s">
        <v>59</v>
      </c>
      <c r="H90" t="s">
        <v>59</v>
      </c>
    </row>
    <row r="91" spans="1:8" x14ac:dyDescent="0.25">
      <c r="A91" t="s">
        <v>259</v>
      </c>
      <c r="B91" t="s">
        <v>59</v>
      </c>
      <c r="C91" t="s">
        <v>90</v>
      </c>
      <c r="D91" s="26">
        <f>[2]疼痛科!$N$5</f>
        <v>81.650000000000006</v>
      </c>
      <c r="E91" s="26">
        <f>[2]疼痛科!$H$5</f>
        <v>83.02</v>
      </c>
      <c r="F91" s="26">
        <f>[2]疼痛科!$B$5</f>
        <v>80.59</v>
      </c>
      <c r="G91" t="s">
        <v>59</v>
      </c>
      <c r="H91" t="s">
        <v>59</v>
      </c>
    </row>
    <row r="92" spans="1:8" x14ac:dyDescent="0.25">
      <c r="A92" t="s">
        <v>260</v>
      </c>
      <c r="B92" t="s">
        <v>14</v>
      </c>
      <c r="C92" t="s">
        <v>90</v>
      </c>
      <c r="D92" s="24">
        <f>[2]疼痛科!$Q$5</f>
        <v>18.779342723004699</v>
      </c>
      <c r="E92" s="24">
        <f>[2]疼痛科!$K$5</f>
        <v>26.978417266187002</v>
      </c>
      <c r="F92" s="24">
        <f>[2]疼痛科!$E$5</f>
        <v>28.524590163934398</v>
      </c>
      <c r="G92" t="s">
        <v>59</v>
      </c>
      <c r="H92" t="s">
        <v>59</v>
      </c>
    </row>
    <row r="93" spans="1:8" x14ac:dyDescent="0.25">
      <c r="A93" t="s">
        <v>261</v>
      </c>
      <c r="B93" t="s">
        <v>59</v>
      </c>
      <c r="C93" t="s">
        <v>90</v>
      </c>
      <c r="D93" s="27" t="str">
        <f>[2]疼痛科!$O$6</f>
        <v>脊髓神经根射频消融术</v>
      </c>
      <c r="E93" s="27" t="str">
        <f>[2]疼痛科!$I$6</f>
        <v>腰胸椎骨成形术(PVP)</v>
      </c>
      <c r="F93" s="27" t="str">
        <f>[2]疼痛科!$C$6</f>
        <v>肌肉筋膜减压术</v>
      </c>
      <c r="G93" t="s">
        <v>59</v>
      </c>
      <c r="H93" t="s">
        <v>59</v>
      </c>
    </row>
    <row r="94" spans="1:8" x14ac:dyDescent="0.25">
      <c r="A94" t="s">
        <v>262</v>
      </c>
      <c r="B94" t="s">
        <v>59</v>
      </c>
      <c r="C94" t="s">
        <v>90</v>
      </c>
      <c r="D94" s="28" t="str">
        <f>[2]疼痛科!$N$6</f>
        <v>04.2x</v>
      </c>
      <c r="E94" s="28">
        <f>[2]疼痛科!$H$6</f>
        <v>81.650000000000006</v>
      </c>
      <c r="F94" s="28">
        <f>[2]疼痛科!$B$6</f>
        <v>83.02</v>
      </c>
      <c r="G94" t="s">
        <v>59</v>
      </c>
      <c r="H94" t="s">
        <v>59</v>
      </c>
    </row>
    <row r="95" spans="1:8" x14ac:dyDescent="0.25">
      <c r="A95" t="s">
        <v>263</v>
      </c>
      <c r="B95" t="s">
        <v>14</v>
      </c>
      <c r="C95" t="s">
        <v>90</v>
      </c>
      <c r="D95" s="24">
        <f>[2]疼痛科!$Q$6</f>
        <v>4.2253521126760596</v>
      </c>
      <c r="E95" s="24">
        <f>[2]疼痛科!$K$6</f>
        <v>8.9928057553956808</v>
      </c>
      <c r="F95" s="24">
        <f>[2]疼痛科!$E$6</f>
        <v>6.2295081967213104</v>
      </c>
      <c r="G95" t="s">
        <v>59</v>
      </c>
      <c r="H95" t="s">
        <v>59</v>
      </c>
    </row>
    <row r="96" spans="1:8" x14ac:dyDescent="0.25">
      <c r="A96" t="s">
        <v>264</v>
      </c>
      <c r="B96" t="s">
        <v>59</v>
      </c>
      <c r="C96" t="s">
        <v>90</v>
      </c>
      <c r="D96" s="24" t="str">
        <f>[2]疼痛科!$O$7</f>
        <v>腓骨截骨术</v>
      </c>
      <c r="E96" s="24" t="str">
        <f>[2]疼痛科!$I$7</f>
        <v>脊柱韧带松解术</v>
      </c>
      <c r="F96" s="24" t="str">
        <f>[2]疼痛科!$C$7</f>
        <v>肌肉松解术(切断术)</v>
      </c>
      <c r="G96" t="s">
        <v>59</v>
      </c>
      <c r="H96" t="s">
        <v>59</v>
      </c>
    </row>
    <row r="97" spans="1:8" x14ac:dyDescent="0.25">
      <c r="A97" t="s">
        <v>265</v>
      </c>
      <c r="B97" t="s">
        <v>59</v>
      </c>
      <c r="C97" t="s">
        <v>90</v>
      </c>
      <c r="D97" s="25">
        <f>[2]疼痛科!$N$7</f>
        <v>77.27</v>
      </c>
      <c r="E97" s="25">
        <f>[2]疼痛科!$H$7</f>
        <v>80.489999999999995</v>
      </c>
      <c r="F97" s="25">
        <f>[2]疼痛科!$B$7</f>
        <v>83.19</v>
      </c>
      <c r="G97" t="s">
        <v>59</v>
      </c>
      <c r="H97" t="s">
        <v>59</v>
      </c>
    </row>
    <row r="98" spans="1:8" x14ac:dyDescent="0.25">
      <c r="A98" t="s">
        <v>266</v>
      </c>
      <c r="B98" t="s">
        <v>14</v>
      </c>
      <c r="C98" t="s">
        <v>90</v>
      </c>
      <c r="D98" s="26">
        <f>[2]疼痛科!$Q$7</f>
        <v>3.7558685446009399</v>
      </c>
      <c r="E98" s="26">
        <f>[2]疼痛科!$K$7</f>
        <v>7.5539568345323698</v>
      </c>
      <c r="F98" s="26">
        <f>[2]疼痛科!$E$7</f>
        <v>5.5737704918032804</v>
      </c>
      <c r="G98" t="s">
        <v>59</v>
      </c>
      <c r="H98" t="s">
        <v>59</v>
      </c>
    </row>
    <row r="99" spans="1:8" x14ac:dyDescent="0.25">
      <c r="A99" t="s">
        <v>267</v>
      </c>
      <c r="B99" t="s">
        <v>59</v>
      </c>
      <c r="C99" t="s">
        <v>90</v>
      </c>
      <c r="D99" s="24" t="str">
        <f>[2]疼痛科!$O$8</f>
        <v>关节镜膝内侧半月板部分切除术</v>
      </c>
      <c r="E99" s="24" t="str">
        <f>[2]疼痛科!$I$8</f>
        <v>腓骨截骨术</v>
      </c>
      <c r="F99" s="24" t="str">
        <f>[2]疼痛科!$C$8</f>
        <v>胸椎骨成形术(PVP)</v>
      </c>
      <c r="G99" t="s">
        <v>59</v>
      </c>
      <c r="H99" t="s">
        <v>59</v>
      </c>
    </row>
    <row r="100" spans="1:8" x14ac:dyDescent="0.25">
      <c r="A100" t="s">
        <v>268</v>
      </c>
      <c r="B100" t="s">
        <v>59</v>
      </c>
      <c r="C100" t="s">
        <v>90</v>
      </c>
      <c r="D100" s="10" t="str">
        <f>[2]疼痛科!$N$8</f>
        <v>80.6x</v>
      </c>
      <c r="E100" s="10">
        <f>[2]疼痛科!$H$8</f>
        <v>77.27</v>
      </c>
      <c r="F100" s="10">
        <f>[2]疼痛科!$B$8</f>
        <v>81.650000000000006</v>
      </c>
      <c r="G100" t="s">
        <v>59</v>
      </c>
      <c r="H100" t="s">
        <v>59</v>
      </c>
    </row>
    <row r="101" spans="1:8" x14ac:dyDescent="0.25">
      <c r="A101" t="s">
        <v>269</v>
      </c>
      <c r="B101" t="s">
        <v>14</v>
      </c>
      <c r="C101" t="s">
        <v>90</v>
      </c>
      <c r="D101" s="10">
        <f>[2]疼痛科!$Q$8</f>
        <v>3.7558685446009399</v>
      </c>
      <c r="E101" s="10">
        <f>[2]疼痛科!$K$8</f>
        <v>2.5179856115107899</v>
      </c>
      <c r="F101" s="10">
        <f>[2]疼痛科!$E$8</f>
        <v>5.2459016393442601</v>
      </c>
      <c r="G101" t="s">
        <v>59</v>
      </c>
      <c r="H101" t="s">
        <v>59</v>
      </c>
    </row>
  </sheetData>
  <phoneticPr fontId="10" type="noConversion"/>
  <conditionalFormatting sqref="D88">
    <cfRule type="duplicateValues" dxfId="71" priority="12"/>
  </conditionalFormatting>
  <conditionalFormatting sqref="E88">
    <cfRule type="duplicateValues" dxfId="70" priority="4"/>
  </conditionalFormatting>
  <conditionalFormatting sqref="F88">
    <cfRule type="duplicateValues" dxfId="69" priority="8"/>
  </conditionalFormatting>
  <conditionalFormatting sqref="D91">
    <cfRule type="duplicateValues" dxfId="68" priority="11"/>
  </conditionalFormatting>
  <conditionalFormatting sqref="E91">
    <cfRule type="duplicateValues" dxfId="67" priority="3"/>
  </conditionalFormatting>
  <conditionalFormatting sqref="F91">
    <cfRule type="duplicateValues" dxfId="66" priority="7"/>
  </conditionalFormatting>
  <conditionalFormatting sqref="D94">
    <cfRule type="duplicateValues" dxfId="65" priority="9"/>
  </conditionalFormatting>
  <conditionalFormatting sqref="E94">
    <cfRule type="duplicateValues" dxfId="64" priority="1"/>
  </conditionalFormatting>
  <conditionalFormatting sqref="F94">
    <cfRule type="duplicateValues" dxfId="63" priority="5"/>
  </conditionalFormatting>
  <conditionalFormatting sqref="D98">
    <cfRule type="duplicateValues" dxfId="62" priority="10"/>
  </conditionalFormatting>
  <conditionalFormatting sqref="E98">
    <cfRule type="duplicateValues" dxfId="61" priority="2"/>
  </conditionalFormatting>
  <conditionalFormatting sqref="F98">
    <cfRule type="duplicateValues" dxfId="60" priority="6"/>
  </conditionalFormatting>
  <pageMargins left="0.69930555555555596" right="0.69930555555555596" top="0.75" bottom="0.75" header="0.3" footer="0.3"/>
  <ignoredErrors>
    <ignoredError sqref="A2:B31 G2:H31 G34:H101 A34:B101 A1:H1" numberStoredAsText="1"/>
  </ignoredError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101"/>
  <sheetViews>
    <sheetView topLeftCell="A13"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11">
        <v>87.450462351387102</v>
      </c>
      <c r="E2" s="11">
        <v>87.593423019431995</v>
      </c>
      <c r="F2" s="11">
        <v>83.172413793103502</v>
      </c>
      <c r="G2" t="s">
        <v>16</v>
      </c>
      <c r="H2" t="s">
        <v>17</v>
      </c>
    </row>
    <row r="3" spans="1:8" x14ac:dyDescent="0.25">
      <c r="A3" t="s">
        <v>18</v>
      </c>
      <c r="B3" t="s">
        <v>14</v>
      </c>
      <c r="C3" t="s">
        <v>15</v>
      </c>
      <c r="D3" s="6">
        <v>0</v>
      </c>
      <c r="E3" s="6">
        <v>0</v>
      </c>
      <c r="F3" s="6">
        <v>0.165837479270315</v>
      </c>
      <c r="G3" t="s">
        <v>19</v>
      </c>
      <c r="H3" t="s">
        <v>20</v>
      </c>
    </row>
    <row r="4" spans="1:8" x14ac:dyDescent="0.25">
      <c r="A4" t="s">
        <v>21</v>
      </c>
      <c r="B4" t="s">
        <v>14</v>
      </c>
      <c r="C4" t="s">
        <v>15</v>
      </c>
      <c r="D4" s="5">
        <v>4.9848942598187298</v>
      </c>
      <c r="E4" s="5">
        <v>5.11945392491468</v>
      </c>
      <c r="F4" s="5">
        <v>3.4825870646766202</v>
      </c>
      <c r="G4" t="s">
        <v>22</v>
      </c>
      <c r="H4" t="s">
        <v>23</v>
      </c>
    </row>
    <row r="5" spans="1:8" x14ac:dyDescent="0.25">
      <c r="A5" t="s">
        <v>24</v>
      </c>
      <c r="B5" t="s">
        <v>14</v>
      </c>
      <c r="C5" t="s">
        <v>15</v>
      </c>
      <c r="D5" s="6">
        <v>71.069999999999993</v>
      </c>
      <c r="E5" s="6">
        <v>39.909999999999997</v>
      </c>
      <c r="F5" s="6">
        <v>45.24</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1.19</v>
      </c>
      <c r="E10" s="6">
        <v>0.9</v>
      </c>
      <c r="F10" s="6">
        <v>0.41</v>
      </c>
      <c r="G10" t="s">
        <v>58</v>
      </c>
      <c r="H10" t="s">
        <v>59</v>
      </c>
    </row>
    <row r="11" spans="1:8" x14ac:dyDescent="0.25">
      <c r="A11" t="s">
        <v>63</v>
      </c>
      <c r="B11" t="s">
        <v>64</v>
      </c>
      <c r="C11" t="s">
        <v>61</v>
      </c>
      <c r="D11" s="5">
        <v>82.858749352841699</v>
      </c>
      <c r="E11" s="5">
        <v>113.69444605355</v>
      </c>
      <c r="F11" s="5">
        <v>95.709727131334901</v>
      </c>
      <c r="G11" t="s">
        <v>35</v>
      </c>
      <c r="H11" t="s">
        <v>65</v>
      </c>
    </row>
    <row r="12" spans="1:8" x14ac:dyDescent="0.25">
      <c r="A12" t="s">
        <v>66</v>
      </c>
      <c r="B12" t="s">
        <v>14</v>
      </c>
      <c r="C12" t="s">
        <v>61</v>
      </c>
      <c r="D12" s="6">
        <v>82.18</v>
      </c>
      <c r="E12" s="6">
        <v>75.06</v>
      </c>
      <c r="F12" s="6">
        <v>75.03</v>
      </c>
      <c r="G12" t="s">
        <v>39</v>
      </c>
      <c r="H12" t="s">
        <v>67</v>
      </c>
    </row>
    <row r="13" spans="1:8" x14ac:dyDescent="0.25">
      <c r="A13" t="s">
        <v>68</v>
      </c>
      <c r="B13" t="s">
        <v>14</v>
      </c>
      <c r="C13" t="s">
        <v>61</v>
      </c>
      <c r="D13" s="6">
        <v>96.43</v>
      </c>
      <c r="E13" s="6">
        <v>94.69</v>
      </c>
      <c r="F13" s="6">
        <v>91.19</v>
      </c>
      <c r="G13" t="s">
        <v>39</v>
      </c>
      <c r="H13" t="s">
        <v>69</v>
      </c>
    </row>
    <row r="14" spans="1:8" x14ac:dyDescent="0.25">
      <c r="A14" t="s">
        <v>74</v>
      </c>
      <c r="B14" t="s">
        <v>14</v>
      </c>
      <c r="C14" t="s">
        <v>75</v>
      </c>
      <c r="D14" s="6">
        <v>0</v>
      </c>
      <c r="E14" s="18">
        <f>81138/15658260*100</f>
        <v>0.51818018093964469</v>
      </c>
      <c r="F14" s="29">
        <f>(19681+7521)/14968092</f>
        <v>1.8173324963529085E-3</v>
      </c>
      <c r="G14" t="s">
        <v>35</v>
      </c>
      <c r="H14" t="s">
        <v>76</v>
      </c>
    </row>
    <row r="15" spans="1:8" x14ac:dyDescent="0.25">
      <c r="A15" t="s">
        <v>91</v>
      </c>
      <c r="B15" t="s">
        <v>92</v>
      </c>
      <c r="C15" t="s">
        <v>15</v>
      </c>
      <c r="D15" s="6">
        <v>7.17</v>
      </c>
      <c r="E15" s="6">
        <v>8.2100000000000009</v>
      </c>
      <c r="F15" s="6">
        <v>8.75</v>
      </c>
      <c r="G15" t="s">
        <v>93</v>
      </c>
      <c r="H15" t="s">
        <v>94</v>
      </c>
    </row>
    <row r="16" spans="1:8" x14ac:dyDescent="0.25">
      <c r="A16" t="s">
        <v>95</v>
      </c>
      <c r="B16" t="s">
        <v>59</v>
      </c>
      <c r="C16" t="s">
        <v>34</v>
      </c>
      <c r="D16" s="6">
        <v>1.17</v>
      </c>
      <c r="E16" s="6">
        <v>1.19</v>
      </c>
      <c r="F16" s="6">
        <v>1.07</v>
      </c>
      <c r="G16" t="s">
        <v>96</v>
      </c>
      <c r="H16" t="s">
        <v>59</v>
      </c>
    </row>
    <row r="17" spans="1:8" x14ac:dyDescent="0.25">
      <c r="A17" t="s">
        <v>97</v>
      </c>
      <c r="B17" t="s">
        <v>98</v>
      </c>
      <c r="C17" t="s">
        <v>34</v>
      </c>
      <c r="D17" s="6">
        <v>46</v>
      </c>
      <c r="E17" s="6">
        <v>44</v>
      </c>
      <c r="F17" s="6">
        <v>51</v>
      </c>
      <c r="G17" t="s">
        <v>99</v>
      </c>
      <c r="H17" t="s">
        <v>59</v>
      </c>
    </row>
    <row r="18" spans="1:8" x14ac:dyDescent="0.25">
      <c r="A18" t="s">
        <v>104</v>
      </c>
      <c r="B18" t="s">
        <v>105</v>
      </c>
      <c r="C18" t="s">
        <v>15</v>
      </c>
      <c r="D18" s="6">
        <v>16</v>
      </c>
      <c r="E18" s="6">
        <v>16</v>
      </c>
      <c r="F18" s="6">
        <v>16</v>
      </c>
      <c r="G18" t="s">
        <v>58</v>
      </c>
      <c r="H18" t="s">
        <v>59</v>
      </c>
    </row>
    <row r="19" spans="1:8" x14ac:dyDescent="0.25">
      <c r="A19" t="s">
        <v>106</v>
      </c>
      <c r="B19" t="s">
        <v>105</v>
      </c>
      <c r="C19" t="s">
        <v>15</v>
      </c>
      <c r="D19" s="6">
        <v>16</v>
      </c>
      <c r="E19" s="6">
        <v>16</v>
      </c>
      <c r="F19" s="6">
        <v>16</v>
      </c>
      <c r="G19" t="s">
        <v>58</v>
      </c>
      <c r="H19" t="s">
        <v>59</v>
      </c>
    </row>
    <row r="20" spans="1:8" x14ac:dyDescent="0.25">
      <c r="A20" t="s">
        <v>107</v>
      </c>
      <c r="B20" t="s">
        <v>14</v>
      </c>
      <c r="C20" t="s">
        <v>15</v>
      </c>
      <c r="D20" s="6">
        <v>89.26</v>
      </c>
      <c r="E20" s="6">
        <v>88.81</v>
      </c>
      <c r="F20" s="6">
        <v>104.86</v>
      </c>
      <c r="G20" t="s">
        <v>58</v>
      </c>
      <c r="H20" t="s">
        <v>108</v>
      </c>
    </row>
    <row r="21" spans="1:8" x14ac:dyDescent="0.25">
      <c r="A21" t="s">
        <v>112</v>
      </c>
      <c r="B21" t="s">
        <v>59</v>
      </c>
      <c r="C21" t="s">
        <v>102</v>
      </c>
      <c r="D21" s="5">
        <f t="shared" ref="D21:F21" si="0">D43/D19</f>
        <v>0.8125</v>
      </c>
      <c r="E21" s="5">
        <f t="shared" si="0"/>
        <v>0.8125</v>
      </c>
      <c r="F21" s="5">
        <f t="shared" si="0"/>
        <v>0.6875</v>
      </c>
      <c r="G21" t="s">
        <v>110</v>
      </c>
      <c r="H21" t="s">
        <v>113</v>
      </c>
    </row>
    <row r="22" spans="1:8" x14ac:dyDescent="0.25">
      <c r="A22" t="s">
        <v>114</v>
      </c>
      <c r="B22" t="s">
        <v>59</v>
      </c>
      <c r="C22" t="s">
        <v>102</v>
      </c>
      <c r="D22" s="5">
        <f t="shared" ref="D22:F22" si="1">D44/D19</f>
        <v>0.6875</v>
      </c>
      <c r="E22" s="5">
        <f t="shared" si="1"/>
        <v>0.6875</v>
      </c>
      <c r="F22" s="5">
        <f t="shared" si="1"/>
        <v>0.625</v>
      </c>
      <c r="G22" t="s">
        <v>110</v>
      </c>
      <c r="H22" t="s">
        <v>115</v>
      </c>
    </row>
    <row r="23" spans="1:8" x14ac:dyDescent="0.25">
      <c r="A23" t="s">
        <v>116</v>
      </c>
      <c r="B23" t="s">
        <v>117</v>
      </c>
      <c r="C23" t="s">
        <v>118</v>
      </c>
      <c r="D23" s="5">
        <v>42.266991653846198</v>
      </c>
      <c r="E23" s="5">
        <v>38.613582583333297</v>
      </c>
      <c r="F23" s="13">
        <v>50.310536117647104</v>
      </c>
      <c r="G23" t="s">
        <v>119</v>
      </c>
      <c r="H23" t="s">
        <v>59</v>
      </c>
    </row>
    <row r="24" spans="1:8" x14ac:dyDescent="0.25">
      <c r="A24" t="s">
        <v>120</v>
      </c>
      <c r="B24" t="s">
        <v>117</v>
      </c>
      <c r="C24" t="s">
        <v>118</v>
      </c>
      <c r="D24" s="5">
        <v>52.1047278461538</v>
      </c>
      <c r="E24" s="5">
        <v>48.117048791666697</v>
      </c>
      <c r="F24" s="13">
        <v>61.046754411764702</v>
      </c>
      <c r="G24" t="s">
        <v>121</v>
      </c>
      <c r="H24" t="s">
        <v>59</v>
      </c>
    </row>
    <row r="25" spans="1:8" x14ac:dyDescent="0.25">
      <c r="A25" t="s">
        <v>122</v>
      </c>
      <c r="B25" t="s">
        <v>117</v>
      </c>
      <c r="C25" t="s">
        <v>118</v>
      </c>
      <c r="D25" s="5">
        <v>68.683861437499999</v>
      </c>
      <c r="E25" s="5">
        <v>57.920373875000003</v>
      </c>
      <c r="F25" s="13">
        <v>53.454944625000003</v>
      </c>
      <c r="G25" t="s">
        <v>123</v>
      </c>
      <c r="H25" t="s">
        <v>59</v>
      </c>
    </row>
    <row r="26" spans="1:8" x14ac:dyDescent="0.25">
      <c r="A26" t="s">
        <v>124</v>
      </c>
      <c r="B26" t="s">
        <v>117</v>
      </c>
      <c r="C26" t="s">
        <v>118</v>
      </c>
      <c r="D26" s="5">
        <v>84.670182749999995</v>
      </c>
      <c r="E26" s="5">
        <v>72.175573187500007</v>
      </c>
      <c r="F26" s="13">
        <v>64.862176562499997</v>
      </c>
      <c r="G26" t="s">
        <v>125</v>
      </c>
      <c r="H26" t="s">
        <v>59</v>
      </c>
    </row>
    <row r="27" spans="1:8" x14ac:dyDescent="0.25">
      <c r="A27" t="s">
        <v>126</v>
      </c>
      <c r="B27" t="s">
        <v>127</v>
      </c>
      <c r="C27" t="s">
        <v>118</v>
      </c>
      <c r="D27" s="5">
        <v>1.0986301369863001</v>
      </c>
      <c r="E27" s="5">
        <v>1.0961011591148599</v>
      </c>
      <c r="F27" s="5">
        <v>1.5252801992528</v>
      </c>
      <c r="G27" t="s">
        <v>39</v>
      </c>
      <c r="H27" t="s">
        <v>128</v>
      </c>
    </row>
    <row r="28" spans="1:8" x14ac:dyDescent="0.25">
      <c r="A28" t="s">
        <v>129</v>
      </c>
      <c r="B28" t="s">
        <v>14</v>
      </c>
      <c r="C28" t="s">
        <v>118</v>
      </c>
      <c r="D28" s="5">
        <v>59.109449848087102</v>
      </c>
      <c r="E28" s="5">
        <v>56.550442204767599</v>
      </c>
      <c r="F28" s="13">
        <v>55.5819648073998</v>
      </c>
      <c r="G28" t="s">
        <v>130</v>
      </c>
      <c r="H28" t="s">
        <v>131</v>
      </c>
    </row>
    <row r="29" spans="1:8" x14ac:dyDescent="0.25">
      <c r="A29" t="s">
        <v>132</v>
      </c>
      <c r="B29" t="s">
        <v>117</v>
      </c>
      <c r="C29" t="s">
        <v>118</v>
      </c>
      <c r="D29" s="5">
        <v>1859.1642890000001</v>
      </c>
      <c r="E29" s="5">
        <v>1638.7599210000001</v>
      </c>
      <c r="F29" s="30">
        <v>1538.770925</v>
      </c>
      <c r="G29" t="s">
        <v>59</v>
      </c>
      <c r="H29" t="s">
        <v>133</v>
      </c>
    </row>
    <row r="30" spans="1:8" x14ac:dyDescent="0.25">
      <c r="A30" t="s">
        <v>134</v>
      </c>
      <c r="B30" t="s">
        <v>117</v>
      </c>
      <c r="C30" t="s">
        <v>118</v>
      </c>
      <c r="D30" s="5">
        <v>1098.941783</v>
      </c>
      <c r="E30" s="5">
        <v>926.72598200000004</v>
      </c>
      <c r="F30" s="13">
        <v>855.27911400000005</v>
      </c>
      <c r="G30" t="s">
        <v>59</v>
      </c>
      <c r="H30" t="s">
        <v>59</v>
      </c>
    </row>
    <row r="31" spans="1:8" x14ac:dyDescent="0.25">
      <c r="A31" t="s">
        <v>135</v>
      </c>
      <c r="B31" t="s">
        <v>117</v>
      </c>
      <c r="C31" t="s">
        <v>118</v>
      </c>
      <c r="D31" s="5">
        <v>1354.7229239999999</v>
      </c>
      <c r="E31" s="5">
        <v>1154.8091710000001</v>
      </c>
      <c r="F31" s="13">
        <v>1037.7948249999999</v>
      </c>
      <c r="G31" t="s">
        <v>59</v>
      </c>
      <c r="H31" t="s">
        <v>136</v>
      </c>
    </row>
    <row r="32" spans="1:8" x14ac:dyDescent="0.25">
      <c r="A32" t="s">
        <v>216</v>
      </c>
      <c r="B32" t="s">
        <v>117</v>
      </c>
      <c r="D32" s="17">
        <v>1272.1199999999999</v>
      </c>
      <c r="E32" s="17">
        <v>1117.3599999999999</v>
      </c>
      <c r="F32" s="17">
        <v>978.74</v>
      </c>
    </row>
    <row r="33" spans="1:8" x14ac:dyDescent="0.25">
      <c r="A33" t="s">
        <v>143</v>
      </c>
      <c r="B33" t="s">
        <v>14</v>
      </c>
      <c r="D33" s="15">
        <v>13.84</v>
      </c>
      <c r="E33" s="15">
        <v>7.86</v>
      </c>
      <c r="F33" s="15">
        <v>9.24</v>
      </c>
    </row>
    <row r="34" spans="1:8" x14ac:dyDescent="0.25">
      <c r="A34" t="s">
        <v>137</v>
      </c>
      <c r="B34" t="s">
        <v>138</v>
      </c>
      <c r="C34" t="s">
        <v>139</v>
      </c>
      <c r="D34" s="6"/>
      <c r="E34" s="6"/>
      <c r="F34" s="6"/>
      <c r="G34" t="s">
        <v>35</v>
      </c>
      <c r="H34" t="s">
        <v>140</v>
      </c>
    </row>
    <row r="35" spans="1:8" x14ac:dyDescent="0.25">
      <c r="A35" t="s">
        <v>217</v>
      </c>
      <c r="B35" t="s">
        <v>14</v>
      </c>
      <c r="C35" t="s">
        <v>118</v>
      </c>
      <c r="D35" s="5">
        <v>48.662617357319498</v>
      </c>
      <c r="E35" s="5">
        <v>44.202439278474401</v>
      </c>
      <c r="F35" s="5">
        <v>40.272374980050998</v>
      </c>
      <c r="G35" t="s">
        <v>22</v>
      </c>
      <c r="H35" t="s">
        <v>218</v>
      </c>
    </row>
    <row r="36" spans="1:8" x14ac:dyDescent="0.25">
      <c r="A36" t="s">
        <v>219</v>
      </c>
      <c r="B36" t="s">
        <v>14</v>
      </c>
      <c r="C36" t="s">
        <v>118</v>
      </c>
      <c r="D36" s="5">
        <v>51.337382642680502</v>
      </c>
      <c r="E36" s="5">
        <v>55.797560721525599</v>
      </c>
      <c r="F36" s="5">
        <v>59.727625019948903</v>
      </c>
      <c r="G36" t="s">
        <v>22</v>
      </c>
      <c r="H36" t="s">
        <v>220</v>
      </c>
    </row>
    <row r="37" spans="1:8" x14ac:dyDescent="0.25">
      <c r="A37" t="s">
        <v>144</v>
      </c>
      <c r="B37" t="s">
        <v>14</v>
      </c>
      <c r="C37" t="s">
        <v>118</v>
      </c>
      <c r="D37" s="5">
        <v>13.4494604838459</v>
      </c>
      <c r="E37" s="5">
        <v>6.4979779885040401</v>
      </c>
      <c r="F37" s="5">
        <v>20.4469737489236</v>
      </c>
      <c r="G37" t="s">
        <v>35</v>
      </c>
      <c r="H37" t="s">
        <v>145</v>
      </c>
    </row>
    <row r="38" spans="1:8" x14ac:dyDescent="0.25">
      <c r="A38" t="s">
        <v>146</v>
      </c>
      <c r="B38" t="s">
        <v>14</v>
      </c>
      <c r="C38" t="s">
        <v>118</v>
      </c>
      <c r="D38" s="5">
        <v>3.00692186729081</v>
      </c>
      <c r="E38" s="5">
        <v>22.331446894297802</v>
      </c>
      <c r="F38" s="5">
        <v>27.109478318086399</v>
      </c>
      <c r="G38" t="s">
        <v>35</v>
      </c>
      <c r="H38" t="s">
        <v>147</v>
      </c>
    </row>
    <row r="39" spans="1:8" x14ac:dyDescent="0.25">
      <c r="A39" t="s">
        <v>148</v>
      </c>
      <c r="B39" t="s">
        <v>14</v>
      </c>
      <c r="C39" t="s">
        <v>118</v>
      </c>
      <c r="D39" s="5">
        <v>-9.0339020064781792</v>
      </c>
      <c r="E39" s="5">
        <v>9.8958437858362895</v>
      </c>
      <c r="F39" s="5">
        <v>8.0475767662954496</v>
      </c>
      <c r="G39" t="s">
        <v>35</v>
      </c>
      <c r="H39" t="s">
        <v>149</v>
      </c>
    </row>
    <row r="40" spans="1:8" x14ac:dyDescent="0.25">
      <c r="A40" t="s">
        <v>150</v>
      </c>
      <c r="B40" t="s">
        <v>14</v>
      </c>
      <c r="C40" t="s">
        <v>118</v>
      </c>
      <c r="D40" s="5">
        <v>-16.237080707848602</v>
      </c>
      <c r="E40" s="5">
        <v>10.405887150866</v>
      </c>
      <c r="F40" s="5">
        <v>16.539298316598401</v>
      </c>
      <c r="G40" t="s">
        <v>35</v>
      </c>
      <c r="H40" t="s">
        <v>151</v>
      </c>
    </row>
    <row r="41" spans="1:8" x14ac:dyDescent="0.25">
      <c r="A41" t="s">
        <v>152</v>
      </c>
      <c r="B41" t="s">
        <v>14</v>
      </c>
      <c r="C41" t="s">
        <v>118</v>
      </c>
      <c r="D41" s="5">
        <v>-23.573009891456799</v>
      </c>
      <c r="E41" s="5">
        <v>-0.36128732305896399</v>
      </c>
      <c r="F41" s="5">
        <v>8.5604156241097407</v>
      </c>
      <c r="G41" t="s">
        <v>35</v>
      </c>
      <c r="H41" t="s">
        <v>153</v>
      </c>
    </row>
    <row r="42" spans="1:8" x14ac:dyDescent="0.25">
      <c r="A42" t="s">
        <v>164</v>
      </c>
      <c r="B42" t="s">
        <v>59</v>
      </c>
      <c r="C42" t="s">
        <v>102</v>
      </c>
      <c r="D42" s="6">
        <v>1.18</v>
      </c>
      <c r="E42" s="6">
        <v>1.18</v>
      </c>
      <c r="F42" s="6">
        <v>1.1000000000000001</v>
      </c>
      <c r="G42" t="s">
        <v>165</v>
      </c>
      <c r="H42" t="s">
        <v>166</v>
      </c>
    </row>
    <row r="43" spans="1:8" x14ac:dyDescent="0.25">
      <c r="A43" t="s">
        <v>167</v>
      </c>
      <c r="B43" t="s">
        <v>101</v>
      </c>
      <c r="C43" t="s">
        <v>102</v>
      </c>
      <c r="D43" s="6">
        <v>13</v>
      </c>
      <c r="E43" s="6">
        <v>13</v>
      </c>
      <c r="F43" s="6">
        <v>11</v>
      </c>
      <c r="G43" t="s">
        <v>168</v>
      </c>
      <c r="H43" t="s">
        <v>59</v>
      </c>
    </row>
    <row r="44" spans="1:8" x14ac:dyDescent="0.25">
      <c r="A44" t="s">
        <v>169</v>
      </c>
      <c r="B44" t="s">
        <v>101</v>
      </c>
      <c r="C44" t="s">
        <v>102</v>
      </c>
      <c r="D44" s="6">
        <v>11</v>
      </c>
      <c r="E44" s="6">
        <v>11</v>
      </c>
      <c r="F44" s="6">
        <v>10</v>
      </c>
      <c r="G44" t="s">
        <v>168</v>
      </c>
      <c r="H44" t="s">
        <v>59</v>
      </c>
    </row>
    <row r="45" spans="1:8" x14ac:dyDescent="0.25">
      <c r="A45" t="s">
        <v>221</v>
      </c>
      <c r="B45" t="s">
        <v>14</v>
      </c>
      <c r="C45" t="s">
        <v>102</v>
      </c>
      <c r="D45" s="6">
        <v>30.77</v>
      </c>
      <c r="E45" s="6">
        <v>30.77</v>
      </c>
      <c r="F45" s="6">
        <v>36.36</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30.77</v>
      </c>
      <c r="E47" s="6">
        <v>30.77</v>
      </c>
      <c r="F47" s="6">
        <v>18.18</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3.17040951122853</v>
      </c>
      <c r="E58" s="9">
        <v>3.28849028400598</v>
      </c>
      <c r="F58" s="9">
        <v>5.1034482758620703</v>
      </c>
      <c r="G58" t="s">
        <v>59</v>
      </c>
      <c r="H58" t="s">
        <v>213</v>
      </c>
    </row>
    <row r="59" spans="1:8" x14ac:dyDescent="0.25">
      <c r="A59" t="s">
        <v>214</v>
      </c>
      <c r="B59" t="s">
        <v>14</v>
      </c>
      <c r="C59" t="s">
        <v>15</v>
      </c>
      <c r="D59" s="5">
        <v>1.1889035667107</v>
      </c>
      <c r="E59" s="5">
        <v>0.14947683109118101</v>
      </c>
      <c r="F59" s="5">
        <v>0</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[1]口腔科!$O$4</f>
        <v>颌骨的囊肿</v>
      </c>
      <c r="E72" s="10" t="str">
        <f>[1]口腔科!$I$4</f>
        <v>颌骨的囊肿</v>
      </c>
      <c r="F72" s="10" t="str">
        <f>[1]口腔科!$C$4</f>
        <v>舌系带过短</v>
      </c>
      <c r="G72" t="s">
        <v>59</v>
      </c>
      <c r="H72" t="s">
        <v>59</v>
      </c>
    </row>
    <row r="73" spans="1:8" x14ac:dyDescent="0.25">
      <c r="A73" t="s">
        <v>241</v>
      </c>
      <c r="B73" t="s">
        <v>59</v>
      </c>
      <c r="C73" t="s">
        <v>90</v>
      </c>
      <c r="D73" s="10" t="str">
        <f>[1]口腔科!$N$4</f>
        <v>K09.2</v>
      </c>
      <c r="E73" s="10" t="str">
        <f>[1]口腔科!$H$4</f>
        <v>K09.2</v>
      </c>
      <c r="F73" s="10" t="str">
        <f>[1]口腔科!$B$4</f>
        <v>Q38.1</v>
      </c>
      <c r="G73" t="s">
        <v>59</v>
      </c>
      <c r="H73" t="s">
        <v>59</v>
      </c>
    </row>
    <row r="74" spans="1:8" x14ac:dyDescent="0.25">
      <c r="A74" t="s">
        <v>242</v>
      </c>
      <c r="B74" t="s">
        <v>14</v>
      </c>
      <c r="C74" t="s">
        <v>90</v>
      </c>
      <c r="D74" s="10">
        <f>[1]口腔科!$Q$4</f>
        <v>20.7397622192867</v>
      </c>
      <c r="E74" s="10">
        <f>[1]口腔科!$K$4</f>
        <v>19.5814648729447</v>
      </c>
      <c r="F74" s="10">
        <f>[1]口腔科!$E$4</f>
        <v>19.724137931034502</v>
      </c>
      <c r="G74" t="s">
        <v>59</v>
      </c>
      <c r="H74" t="s">
        <v>59</v>
      </c>
    </row>
    <row r="75" spans="1:8" x14ac:dyDescent="0.25">
      <c r="A75" t="s">
        <v>243</v>
      </c>
      <c r="B75" t="s">
        <v>59</v>
      </c>
      <c r="C75" t="s">
        <v>90</v>
      </c>
      <c r="D75" s="10" t="str">
        <f>[1]口腔科!$O$5</f>
        <v>舌系带过短</v>
      </c>
      <c r="E75" s="10" t="str">
        <f>[1]口腔科!$I$5</f>
        <v>舌系带过短</v>
      </c>
      <c r="F75" s="10" t="str">
        <f>[1]口腔科!$C$5</f>
        <v>颌骨的囊肿</v>
      </c>
      <c r="G75" t="s">
        <v>59</v>
      </c>
      <c r="H75" t="s">
        <v>59</v>
      </c>
    </row>
    <row r="76" spans="1:8" x14ac:dyDescent="0.25">
      <c r="A76" t="s">
        <v>244</v>
      </c>
      <c r="B76" t="s">
        <v>59</v>
      </c>
      <c r="C76" t="s">
        <v>90</v>
      </c>
      <c r="D76" s="10" t="str">
        <f>[1]口腔科!$N$5</f>
        <v>Q38.1</v>
      </c>
      <c r="E76" s="10" t="str">
        <f>[1]口腔科!$H$5</f>
        <v>Q38.1</v>
      </c>
      <c r="F76" s="10" t="str">
        <f>[1]口腔科!$B$5</f>
        <v>K09.2</v>
      </c>
      <c r="G76" t="s">
        <v>59</v>
      </c>
      <c r="H76" t="s">
        <v>59</v>
      </c>
    </row>
    <row r="77" spans="1:8" x14ac:dyDescent="0.25">
      <c r="A77" t="s">
        <v>245</v>
      </c>
      <c r="B77" t="s">
        <v>14</v>
      </c>
      <c r="C77" t="s">
        <v>90</v>
      </c>
      <c r="D77" s="10">
        <f>[1]口腔科!$Q$5</f>
        <v>13.8705416116248</v>
      </c>
      <c r="E77" s="10">
        <f>[1]口腔科!$K$5</f>
        <v>16.292974588938701</v>
      </c>
      <c r="F77" s="10">
        <f>[1]口腔科!$E$5</f>
        <v>14.758620689655199</v>
      </c>
      <c r="G77" t="s">
        <v>59</v>
      </c>
      <c r="H77" t="s">
        <v>59</v>
      </c>
    </row>
    <row r="78" spans="1:8" x14ac:dyDescent="0.25">
      <c r="A78" t="s">
        <v>246</v>
      </c>
      <c r="B78" t="s">
        <v>59</v>
      </c>
      <c r="C78" t="s">
        <v>90</v>
      </c>
      <c r="D78" s="10" t="str">
        <f>[1]口腔科!$O$6</f>
        <v>颅骨和面骨骨折</v>
      </c>
      <c r="E78" s="10" t="str">
        <f>[1]口腔科!$I$6</f>
        <v>颅骨和面骨骨折</v>
      </c>
      <c r="F78" s="10" t="str">
        <f>[1]口腔科!$C$6</f>
        <v>颅骨和面骨骨折</v>
      </c>
      <c r="G78" t="s">
        <v>59</v>
      </c>
      <c r="H78" t="s">
        <v>59</v>
      </c>
    </row>
    <row r="79" spans="1:8" x14ac:dyDescent="0.25">
      <c r="A79" t="s">
        <v>247</v>
      </c>
      <c r="B79" t="s">
        <v>59</v>
      </c>
      <c r="C79" t="s">
        <v>90</v>
      </c>
      <c r="D79" s="10" t="str">
        <f>[1]口腔科!$N$6</f>
        <v>S02</v>
      </c>
      <c r="E79" s="10" t="str">
        <f>[1]口腔科!$H$6</f>
        <v>S02</v>
      </c>
      <c r="F79" s="10" t="str">
        <f>[1]口腔科!$B$6</f>
        <v>S02</v>
      </c>
      <c r="G79" t="s">
        <v>59</v>
      </c>
      <c r="H79" t="s">
        <v>59</v>
      </c>
    </row>
    <row r="80" spans="1:8" x14ac:dyDescent="0.25">
      <c r="A80" t="s">
        <v>248</v>
      </c>
      <c r="B80" t="s">
        <v>14</v>
      </c>
      <c r="C80" t="s">
        <v>90</v>
      </c>
      <c r="D80" s="10">
        <f>[1]口腔科!$Q$6</f>
        <v>9.9075297225891692</v>
      </c>
      <c r="E80" s="10">
        <f>[1]口腔科!$K$6</f>
        <v>10.612855007473801</v>
      </c>
      <c r="F80" s="10">
        <f>[1]口腔科!$E$6</f>
        <v>8.9655172413793096</v>
      </c>
      <c r="G80" t="s">
        <v>59</v>
      </c>
      <c r="H80" t="s">
        <v>59</v>
      </c>
    </row>
    <row r="81" spans="1:8" x14ac:dyDescent="0.25">
      <c r="A81" t="s">
        <v>249</v>
      </c>
      <c r="B81" t="s">
        <v>59</v>
      </c>
      <c r="C81" t="s">
        <v>90</v>
      </c>
      <c r="D81" s="10" t="str">
        <f>[1]口腔科!$O$7</f>
        <v>涎腺疾病</v>
      </c>
      <c r="E81" s="10" t="str">
        <f>[1]口腔科!$I$7</f>
        <v>埋伏牙和阻生牙</v>
      </c>
      <c r="F81" s="10" t="str">
        <f>[1]口腔科!$C$7</f>
        <v>口蜂窝织炎和脓肿</v>
      </c>
      <c r="G81" t="s">
        <v>59</v>
      </c>
      <c r="H81" t="s">
        <v>59</v>
      </c>
    </row>
    <row r="82" spans="1:8" x14ac:dyDescent="0.25">
      <c r="A82" t="s">
        <v>250</v>
      </c>
      <c r="B82" t="s">
        <v>59</v>
      </c>
      <c r="C82" t="s">
        <v>90</v>
      </c>
      <c r="D82" s="10" t="str">
        <f>[1]口腔科!$N$7</f>
        <v>K11</v>
      </c>
      <c r="E82" s="10" t="str">
        <f>[1]口腔科!$H$7</f>
        <v>K01</v>
      </c>
      <c r="F82" s="10" t="str">
        <f>[1]口腔科!$B$7</f>
        <v>K12.2</v>
      </c>
      <c r="G82" t="s">
        <v>59</v>
      </c>
      <c r="H82" t="s">
        <v>59</v>
      </c>
    </row>
    <row r="83" spans="1:8" x14ac:dyDescent="0.25">
      <c r="A83" t="s">
        <v>251</v>
      </c>
      <c r="B83" t="s">
        <v>14</v>
      </c>
      <c r="C83" t="s">
        <v>90</v>
      </c>
      <c r="D83" s="10">
        <f>[1]口腔科!$Q$7</f>
        <v>7.2655217965653902</v>
      </c>
      <c r="E83" s="10">
        <f>[1]口腔科!$K$7</f>
        <v>6.2780269058296003</v>
      </c>
      <c r="F83" s="10">
        <f>[1]口腔科!$E$7</f>
        <v>4.9655172413793096</v>
      </c>
      <c r="G83" t="s">
        <v>59</v>
      </c>
      <c r="H83" t="s">
        <v>59</v>
      </c>
    </row>
    <row r="84" spans="1:8" x14ac:dyDescent="0.25">
      <c r="A84" t="s">
        <v>252</v>
      </c>
      <c r="B84" t="s">
        <v>59</v>
      </c>
      <c r="C84" t="s">
        <v>90</v>
      </c>
      <c r="D84" s="10" t="str">
        <f>[1]口腔科!$O$8</f>
        <v>埋伏牙和阻生牙</v>
      </c>
      <c r="E84" s="10" t="str">
        <f>[1]口腔科!$I$8</f>
        <v>取除骨折内固定装置</v>
      </c>
      <c r="F84" s="10" t="str">
        <f>[1]口腔科!$C$8</f>
        <v>腮腺良性肿瘤</v>
      </c>
      <c r="G84" t="s">
        <v>59</v>
      </c>
      <c r="H84" t="s">
        <v>59</v>
      </c>
    </row>
    <row r="85" spans="1:8" x14ac:dyDescent="0.25">
      <c r="A85" t="s">
        <v>253</v>
      </c>
      <c r="B85" t="s">
        <v>59</v>
      </c>
      <c r="C85" t="s">
        <v>90</v>
      </c>
      <c r="D85" s="10" t="str">
        <f>[1]口腔科!$N$8</f>
        <v>K01</v>
      </c>
      <c r="E85" s="10" t="str">
        <f>[1]口腔科!$H$8</f>
        <v>Z47.0</v>
      </c>
      <c r="F85" s="10" t="str">
        <f>[1]口腔科!$B$8</f>
        <v>D11.0</v>
      </c>
      <c r="G85" t="s">
        <v>59</v>
      </c>
      <c r="H85" t="s">
        <v>59</v>
      </c>
    </row>
    <row r="86" spans="1:8" x14ac:dyDescent="0.25">
      <c r="A86" t="s">
        <v>254</v>
      </c>
      <c r="B86" t="s">
        <v>14</v>
      </c>
      <c r="C86" t="s">
        <v>90</v>
      </c>
      <c r="D86" s="10">
        <f>[1]口腔科!$Q$8</f>
        <v>5.6803170409511203</v>
      </c>
      <c r="E86" s="10">
        <f>[1]口腔科!$K$8</f>
        <v>4.9327354260089704</v>
      </c>
      <c r="F86" s="10">
        <f>[1]口腔科!$E$8</f>
        <v>4.8275862068965498</v>
      </c>
      <c r="G86" t="s">
        <v>59</v>
      </c>
      <c r="H86" t="s">
        <v>59</v>
      </c>
    </row>
    <row r="87" spans="1:8" x14ac:dyDescent="0.25">
      <c r="A87" t="s">
        <v>255</v>
      </c>
      <c r="B87" t="s">
        <v>59</v>
      </c>
      <c r="C87" t="s">
        <v>90</v>
      </c>
      <c r="D87" s="22" t="str">
        <f>[2]口腔科!$O$4</f>
        <v>颌骨囊肿摘除术</v>
      </c>
      <c r="E87" s="22" t="str">
        <f>[2]口腔科!$I$4</f>
        <v>上下颌骨病损切除术</v>
      </c>
      <c r="F87" s="22" t="str">
        <f>[2]口腔科!$C$4</f>
        <v>舌系带切开成形术(舌系带延长术)</v>
      </c>
      <c r="G87" t="s">
        <v>59</v>
      </c>
      <c r="H87" t="s">
        <v>59</v>
      </c>
    </row>
    <row r="88" spans="1:8" x14ac:dyDescent="0.25">
      <c r="A88" t="s">
        <v>256</v>
      </c>
      <c r="B88" t="s">
        <v>59</v>
      </c>
      <c r="C88" t="s">
        <v>90</v>
      </c>
      <c r="D88" s="23" t="str">
        <f>[2]口腔科!$N$4</f>
        <v>76.2x</v>
      </c>
      <c r="E88" s="23">
        <f>[2]口腔科!$H$4</f>
        <v>76.2</v>
      </c>
      <c r="F88" s="23">
        <f>[2]口腔科!$B$4</f>
        <v>25.91</v>
      </c>
      <c r="G88" t="s">
        <v>59</v>
      </c>
      <c r="H88" t="s">
        <v>59</v>
      </c>
    </row>
    <row r="89" spans="1:8" x14ac:dyDescent="0.25">
      <c r="A89" t="s">
        <v>257</v>
      </c>
      <c r="B89" t="s">
        <v>14</v>
      </c>
      <c r="C89" t="s">
        <v>90</v>
      </c>
      <c r="D89" s="24">
        <f>[2]口腔科!$Q$4</f>
        <v>25.377643504531701</v>
      </c>
      <c r="E89" s="24">
        <f>[2]口腔科!$K$4</f>
        <v>22.0136518771331</v>
      </c>
      <c r="F89" s="24">
        <f>[2]口腔科!$E$4</f>
        <v>21.061359867330001</v>
      </c>
      <c r="G89" t="s">
        <v>59</v>
      </c>
      <c r="H89" t="s">
        <v>59</v>
      </c>
    </row>
    <row r="90" spans="1:8" x14ac:dyDescent="0.25">
      <c r="A90" t="s">
        <v>258</v>
      </c>
      <c r="B90" t="s">
        <v>59</v>
      </c>
      <c r="C90" t="s">
        <v>90</v>
      </c>
      <c r="D90" s="25" t="str">
        <f>[2]口腔科!$O$5</f>
        <v>舌系带延长术</v>
      </c>
      <c r="E90" s="25" t="str">
        <f>[2]口腔科!$I$5</f>
        <v>舌系带切开成形术(舌系带延长术)</v>
      </c>
      <c r="F90" s="25" t="str">
        <f>[2]口腔科!$C$5</f>
        <v>上下颌骨病损切除术</v>
      </c>
      <c r="G90" t="s">
        <v>59</v>
      </c>
      <c r="H90" t="s">
        <v>59</v>
      </c>
    </row>
    <row r="91" spans="1:8" x14ac:dyDescent="0.25">
      <c r="A91" t="s">
        <v>259</v>
      </c>
      <c r="B91" t="s">
        <v>59</v>
      </c>
      <c r="C91" t="s">
        <v>90</v>
      </c>
      <c r="D91" s="26">
        <f>[2]口腔科!$N$5</f>
        <v>25.91</v>
      </c>
      <c r="E91" s="26">
        <f>[2]口腔科!$H$5</f>
        <v>25.91</v>
      </c>
      <c r="F91" s="26" t="str">
        <f>[2]口腔科!$B$5</f>
        <v>76.2</v>
      </c>
      <c r="G91" t="s">
        <v>59</v>
      </c>
      <c r="H91" t="s">
        <v>59</v>
      </c>
    </row>
    <row r="92" spans="1:8" x14ac:dyDescent="0.25">
      <c r="A92" t="s">
        <v>260</v>
      </c>
      <c r="B92" t="s">
        <v>14</v>
      </c>
      <c r="C92" t="s">
        <v>90</v>
      </c>
      <c r="D92" s="24">
        <f>[2]口腔科!$Q$5</f>
        <v>15.558912386707</v>
      </c>
      <c r="E92" s="24">
        <f>[2]口腔科!$K$5</f>
        <v>17.747440273037501</v>
      </c>
      <c r="F92" s="24">
        <f>[2]口腔科!$E$5</f>
        <v>19.071310116086199</v>
      </c>
      <c r="G92" t="s">
        <v>59</v>
      </c>
      <c r="H92" t="s">
        <v>59</v>
      </c>
    </row>
    <row r="93" spans="1:8" x14ac:dyDescent="0.25">
      <c r="A93" t="s">
        <v>261</v>
      </c>
      <c r="B93" t="s">
        <v>59</v>
      </c>
      <c r="C93" t="s">
        <v>90</v>
      </c>
      <c r="D93" s="27" t="str">
        <f>[2]口腔科!$O$6</f>
        <v>下颌骨内固定装置取出术</v>
      </c>
      <c r="E93" s="27" t="str">
        <f>[2]口腔科!$I$6</f>
        <v>埋伏牙手术拔除术</v>
      </c>
      <c r="F93" s="27" t="str">
        <f>[2]口腔科!$C$6</f>
        <v>腮腺病损切除术</v>
      </c>
      <c r="G93" t="s">
        <v>59</v>
      </c>
      <c r="H93" t="s">
        <v>59</v>
      </c>
    </row>
    <row r="94" spans="1:8" x14ac:dyDescent="0.25">
      <c r="A94" t="s">
        <v>262</v>
      </c>
      <c r="B94" t="s">
        <v>59</v>
      </c>
      <c r="C94" t="s">
        <v>90</v>
      </c>
      <c r="D94" s="28">
        <f>[2]口腔科!$N$6</f>
        <v>76.97</v>
      </c>
      <c r="E94" s="28">
        <f>[2]口腔科!$H$6</f>
        <v>23.19</v>
      </c>
      <c r="F94" s="28">
        <f>[2]口腔科!$B$6</f>
        <v>26.29</v>
      </c>
      <c r="G94" t="s">
        <v>59</v>
      </c>
      <c r="H94" t="s">
        <v>59</v>
      </c>
    </row>
    <row r="95" spans="1:8" x14ac:dyDescent="0.25">
      <c r="A95" t="s">
        <v>263</v>
      </c>
      <c r="B95" t="s">
        <v>14</v>
      </c>
      <c r="C95" t="s">
        <v>90</v>
      </c>
      <c r="D95" s="24">
        <f>[2]口腔科!$Q$6</f>
        <v>6.6465256797583097</v>
      </c>
      <c r="E95" s="24">
        <f>[2]口腔科!$K$6</f>
        <v>6.6552901023890803</v>
      </c>
      <c r="F95" s="24">
        <f>[2]口腔科!$E$6</f>
        <v>6.6334991708126001</v>
      </c>
      <c r="G95" t="s">
        <v>59</v>
      </c>
      <c r="H95" t="s">
        <v>59</v>
      </c>
    </row>
    <row r="96" spans="1:8" x14ac:dyDescent="0.25">
      <c r="A96" t="s">
        <v>264</v>
      </c>
      <c r="B96" t="s">
        <v>59</v>
      </c>
      <c r="C96" t="s">
        <v>90</v>
      </c>
      <c r="D96" s="24" t="str">
        <f>[2]口腔科!$O$7</f>
        <v>阻生齿拔除术伴翻瓣</v>
      </c>
      <c r="E96" s="24" t="str">
        <f>[2]口腔科!$I$7</f>
        <v>颌骨内固定去除术</v>
      </c>
      <c r="F96" s="24" t="str">
        <f>[2]口腔科!$C$7</f>
        <v>牙手术拔除术</v>
      </c>
      <c r="G96" t="s">
        <v>59</v>
      </c>
      <c r="H96" t="s">
        <v>59</v>
      </c>
    </row>
    <row r="97" spans="1:8" x14ac:dyDescent="0.25">
      <c r="A97" t="s">
        <v>265</v>
      </c>
      <c r="B97" t="s">
        <v>59</v>
      </c>
      <c r="C97" t="s">
        <v>90</v>
      </c>
      <c r="D97" s="25">
        <f>[2]口腔科!$N$7</f>
        <v>23.19</v>
      </c>
      <c r="E97" s="25">
        <f>[2]口腔科!$H$7</f>
        <v>76.97</v>
      </c>
      <c r="F97" s="25">
        <f>[2]口腔科!$B$7</f>
        <v>23.19</v>
      </c>
      <c r="G97" t="s">
        <v>59</v>
      </c>
      <c r="H97" t="s">
        <v>59</v>
      </c>
    </row>
    <row r="98" spans="1:8" x14ac:dyDescent="0.25">
      <c r="A98" t="s">
        <v>266</v>
      </c>
      <c r="B98" t="s">
        <v>14</v>
      </c>
      <c r="C98" t="s">
        <v>90</v>
      </c>
      <c r="D98" s="26">
        <f>[2]口腔科!$Q$7</f>
        <v>5.7401812688821696</v>
      </c>
      <c r="E98" s="26">
        <f>[2]口腔科!$K$7</f>
        <v>5.4607508532423203</v>
      </c>
      <c r="F98" s="26">
        <f>[2]口腔科!$E$7</f>
        <v>5.1409618573797697</v>
      </c>
      <c r="G98" t="s">
        <v>59</v>
      </c>
      <c r="H98" t="s">
        <v>59</v>
      </c>
    </row>
    <row r="99" spans="1:8" x14ac:dyDescent="0.25">
      <c r="A99" t="s">
        <v>267</v>
      </c>
      <c r="B99" t="s">
        <v>59</v>
      </c>
      <c r="C99" t="s">
        <v>90</v>
      </c>
      <c r="D99" s="24" t="str">
        <f>[2]口腔科!$O$8</f>
        <v>腮腺病损切除术</v>
      </c>
      <c r="E99" s="24" t="str">
        <f>[2]口腔科!$I$8</f>
        <v>牙龈病损切除术</v>
      </c>
      <c r="F99" s="24" t="str">
        <f>[2]口腔科!$C$8</f>
        <v>下颌骨骨折切开复位内固定术</v>
      </c>
      <c r="G99" t="s">
        <v>59</v>
      </c>
      <c r="H99" t="s">
        <v>59</v>
      </c>
    </row>
    <row r="100" spans="1:8" x14ac:dyDescent="0.25">
      <c r="A100" t="s">
        <v>268</v>
      </c>
      <c r="B100" t="s">
        <v>59</v>
      </c>
      <c r="C100" t="s">
        <v>90</v>
      </c>
      <c r="D100" s="10">
        <f>[2]口腔科!$N$8</f>
        <v>26.29</v>
      </c>
      <c r="E100" s="10">
        <f>[2]口腔科!$H$8</f>
        <v>24.31</v>
      </c>
      <c r="F100" s="10">
        <f>[2]口腔科!$B$8</f>
        <v>76.760000000000005</v>
      </c>
      <c r="G100" t="s">
        <v>59</v>
      </c>
      <c r="H100" t="s">
        <v>59</v>
      </c>
    </row>
    <row r="101" spans="1:8" x14ac:dyDescent="0.25">
      <c r="A101" t="s">
        <v>269</v>
      </c>
      <c r="B101" t="s">
        <v>14</v>
      </c>
      <c r="C101" t="s">
        <v>90</v>
      </c>
      <c r="D101" s="10">
        <f>[2]口腔科!$Q$8</f>
        <v>4.6827794561933498</v>
      </c>
      <c r="E101" s="10">
        <f>[2]口腔科!$K$8</f>
        <v>4.2662116040955604</v>
      </c>
      <c r="F101" s="10">
        <f>[2]口腔科!$E$8</f>
        <v>4.6434494195688201</v>
      </c>
      <c r="G101" t="s">
        <v>59</v>
      </c>
      <c r="H101" t="s">
        <v>59</v>
      </c>
    </row>
  </sheetData>
  <phoneticPr fontId="10" type="noConversion"/>
  <conditionalFormatting sqref="D88">
    <cfRule type="duplicateValues" dxfId="59" priority="12"/>
  </conditionalFormatting>
  <conditionalFormatting sqref="E88">
    <cfRule type="duplicateValues" dxfId="58" priority="4"/>
  </conditionalFormatting>
  <conditionalFormatting sqref="F88">
    <cfRule type="duplicateValues" dxfId="57" priority="8"/>
  </conditionalFormatting>
  <conditionalFormatting sqref="D91">
    <cfRule type="duplicateValues" dxfId="56" priority="11"/>
  </conditionalFormatting>
  <conditionalFormatting sqref="E91">
    <cfRule type="duplicateValues" dxfId="55" priority="3"/>
  </conditionalFormatting>
  <conditionalFormatting sqref="F91">
    <cfRule type="duplicateValues" dxfId="54" priority="7"/>
  </conditionalFormatting>
  <conditionalFormatting sqref="D94">
    <cfRule type="duplicateValues" dxfId="53" priority="9"/>
  </conditionalFormatting>
  <conditionalFormatting sqref="E94">
    <cfRule type="duplicateValues" dxfId="52" priority="1"/>
  </conditionalFormatting>
  <conditionalFormatting sqref="F94">
    <cfRule type="duplicateValues" dxfId="51" priority="5"/>
  </conditionalFormatting>
  <conditionalFormatting sqref="D98">
    <cfRule type="duplicateValues" dxfId="50" priority="10"/>
  </conditionalFormatting>
  <conditionalFormatting sqref="E98">
    <cfRule type="duplicateValues" dxfId="49" priority="2"/>
  </conditionalFormatting>
  <conditionalFormatting sqref="F98">
    <cfRule type="duplicateValues" dxfId="48" priority="6"/>
  </conditionalFormatting>
  <pageMargins left="0.69930555555555596" right="0.69930555555555596" top="0.75" bottom="0.75" header="0.3" footer="0.3"/>
  <ignoredErrors>
    <ignoredError sqref="A2:B31 G2:H31 G34:H101 A34:B101 A1:H1" numberStoredAsText="1"/>
  </ignoredError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6">
        <v>43.93</v>
      </c>
      <c r="E2" s="6">
        <v>46.94</v>
      </c>
      <c r="F2" s="6">
        <v>49.77</v>
      </c>
      <c r="G2" t="s">
        <v>16</v>
      </c>
      <c r="H2" t="s">
        <v>17</v>
      </c>
    </row>
    <row r="3" spans="1:8" x14ac:dyDescent="0.25">
      <c r="A3" t="s">
        <v>18</v>
      </c>
      <c r="B3" t="s">
        <v>14</v>
      </c>
      <c r="C3" t="s">
        <v>15</v>
      </c>
      <c r="D3" s="6">
        <v>0</v>
      </c>
      <c r="E3" s="6">
        <v>0</v>
      </c>
      <c r="F3" s="6">
        <v>0</v>
      </c>
      <c r="G3" t="s">
        <v>19</v>
      </c>
      <c r="H3" t="s">
        <v>20</v>
      </c>
    </row>
    <row r="4" spans="1:8" x14ac:dyDescent="0.25">
      <c r="A4" t="s">
        <v>21</v>
      </c>
      <c r="B4" t="s">
        <v>14</v>
      </c>
      <c r="C4" t="s">
        <v>15</v>
      </c>
      <c r="D4" s="6">
        <v>0</v>
      </c>
      <c r="E4" s="6">
        <v>0</v>
      </c>
      <c r="F4" s="6">
        <v>0</v>
      </c>
      <c r="G4" t="s">
        <v>22</v>
      </c>
      <c r="H4" t="s">
        <v>23</v>
      </c>
    </row>
    <row r="5" spans="1:8" x14ac:dyDescent="0.25">
      <c r="A5" t="s">
        <v>24</v>
      </c>
      <c r="B5" t="s">
        <v>14</v>
      </c>
      <c r="C5" t="s">
        <v>15</v>
      </c>
      <c r="D5" s="6">
        <v>52.5</v>
      </c>
      <c r="E5" s="6">
        <v>43.604999999999997</v>
      </c>
      <c r="F5" s="6">
        <v>41.52</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4.3600000000000003</v>
      </c>
      <c r="E10" s="6">
        <v>1.73</v>
      </c>
      <c r="F10" s="6">
        <v>3.09</v>
      </c>
      <c r="G10" t="s">
        <v>58</v>
      </c>
      <c r="H10" t="s">
        <v>59</v>
      </c>
    </row>
    <row r="11" spans="1:8" x14ac:dyDescent="0.25">
      <c r="A11" t="s">
        <v>63</v>
      </c>
      <c r="B11" t="s">
        <v>64</v>
      </c>
      <c r="C11" t="s">
        <v>61</v>
      </c>
      <c r="D11" s="5">
        <v>54.039716778743298</v>
      </c>
      <c r="E11" s="5">
        <v>50.298367132289499</v>
      </c>
      <c r="F11" s="5">
        <v>45.284378056719603</v>
      </c>
      <c r="G11" t="s">
        <v>35</v>
      </c>
      <c r="H11" t="s">
        <v>65</v>
      </c>
    </row>
    <row r="12" spans="1:8" x14ac:dyDescent="0.25">
      <c r="A12" t="s">
        <v>66</v>
      </c>
      <c r="B12" t="s">
        <v>14</v>
      </c>
      <c r="C12" t="s">
        <v>61</v>
      </c>
      <c r="D12" s="6">
        <v>37.4</v>
      </c>
      <c r="E12" s="6">
        <v>48.16</v>
      </c>
      <c r="F12" s="6">
        <v>53.39</v>
      </c>
      <c r="G12" t="s">
        <v>39</v>
      </c>
      <c r="H12" t="s">
        <v>67</v>
      </c>
    </row>
    <row r="13" spans="1:8" x14ac:dyDescent="0.25">
      <c r="A13" t="s">
        <v>68</v>
      </c>
      <c r="B13" t="s">
        <v>14</v>
      </c>
      <c r="C13" t="s">
        <v>61</v>
      </c>
      <c r="D13" s="6">
        <v>96.37</v>
      </c>
      <c r="E13" s="6">
        <v>97.39</v>
      </c>
      <c r="F13" s="6">
        <v>93.22</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14.18</v>
      </c>
      <c r="E15" s="6">
        <v>12.615</v>
      </c>
      <c r="F15" s="6">
        <v>13.234999999999999</v>
      </c>
      <c r="G15" t="s">
        <v>93</v>
      </c>
      <c r="H15" t="s">
        <v>94</v>
      </c>
    </row>
    <row r="16" spans="1:8" x14ac:dyDescent="0.25">
      <c r="A16" t="s">
        <v>95</v>
      </c>
      <c r="B16" t="s">
        <v>59</v>
      </c>
      <c r="C16" t="s">
        <v>34</v>
      </c>
      <c r="D16" s="6">
        <v>1.39</v>
      </c>
      <c r="E16" s="6">
        <v>1.47</v>
      </c>
      <c r="F16" s="6">
        <v>1.48</v>
      </c>
      <c r="G16" t="s">
        <v>96</v>
      </c>
      <c r="H16" t="s">
        <v>59</v>
      </c>
    </row>
    <row r="17" spans="1:8" x14ac:dyDescent="0.25">
      <c r="A17" t="s">
        <v>97</v>
      </c>
      <c r="B17" t="s">
        <v>98</v>
      </c>
      <c r="C17" t="s">
        <v>34</v>
      </c>
      <c r="D17" s="6">
        <v>78</v>
      </c>
      <c r="E17" s="6">
        <v>64</v>
      </c>
      <c r="F17" s="6">
        <v>61</v>
      </c>
      <c r="G17" t="s">
        <v>99</v>
      </c>
      <c r="H17" t="s">
        <v>59</v>
      </c>
    </row>
    <row r="18" spans="1:8" x14ac:dyDescent="0.25">
      <c r="A18" t="s">
        <v>104</v>
      </c>
      <c r="B18" t="s">
        <v>105</v>
      </c>
      <c r="C18" t="s">
        <v>15</v>
      </c>
      <c r="D18" s="6">
        <v>37</v>
      </c>
      <c r="E18" s="6">
        <v>37</v>
      </c>
      <c r="F18" s="6">
        <v>37</v>
      </c>
      <c r="G18" t="s">
        <v>58</v>
      </c>
      <c r="H18" t="s">
        <v>59</v>
      </c>
    </row>
    <row r="19" spans="1:8" x14ac:dyDescent="0.25">
      <c r="A19" t="s">
        <v>106</v>
      </c>
      <c r="B19" t="s">
        <v>105</v>
      </c>
      <c r="C19" t="s">
        <v>15</v>
      </c>
      <c r="D19" s="6">
        <v>43</v>
      </c>
      <c r="E19" s="6">
        <v>37</v>
      </c>
      <c r="F19" s="6">
        <v>38</v>
      </c>
      <c r="G19" t="s">
        <v>58</v>
      </c>
      <c r="H19" t="s">
        <v>59</v>
      </c>
    </row>
    <row r="20" spans="1:8" x14ac:dyDescent="0.25">
      <c r="A20" t="s">
        <v>107</v>
      </c>
      <c r="B20" t="s">
        <v>14</v>
      </c>
      <c r="C20" t="s">
        <v>15</v>
      </c>
      <c r="D20" s="6">
        <v>92.62</v>
      </c>
      <c r="E20" s="6">
        <v>81.745000000000005</v>
      </c>
      <c r="F20" s="6">
        <v>74.290000000000006</v>
      </c>
      <c r="G20" t="s">
        <v>58</v>
      </c>
      <c r="H20" t="s">
        <v>108</v>
      </c>
    </row>
    <row r="21" spans="1:8" x14ac:dyDescent="0.25">
      <c r="A21" t="s">
        <v>112</v>
      </c>
      <c r="B21" t="s">
        <v>59</v>
      </c>
      <c r="C21" t="s">
        <v>102</v>
      </c>
      <c r="D21" s="5">
        <f t="shared" ref="D21:F21" si="0">D43/D19</f>
        <v>0.16279069767441862</v>
      </c>
      <c r="E21" s="5">
        <f t="shared" si="0"/>
        <v>0.1891891891891892</v>
      </c>
      <c r="F21" s="5">
        <f t="shared" si="0"/>
        <v>0.23684210526315788</v>
      </c>
      <c r="G21" t="s">
        <v>110</v>
      </c>
      <c r="H21" t="s">
        <v>113</v>
      </c>
    </row>
    <row r="22" spans="1:8" x14ac:dyDescent="0.25">
      <c r="A22" t="s">
        <v>114</v>
      </c>
      <c r="B22" t="s">
        <v>59</v>
      </c>
      <c r="C22" t="s">
        <v>102</v>
      </c>
      <c r="D22" s="5">
        <f t="shared" ref="D22:F22" si="1">D44/D19</f>
        <v>0.46511627906976744</v>
      </c>
      <c r="E22" s="5">
        <f t="shared" si="1"/>
        <v>0.51351351351351349</v>
      </c>
      <c r="F22" s="5">
        <f t="shared" si="1"/>
        <v>0.5</v>
      </c>
      <c r="G22" t="s">
        <v>110</v>
      </c>
      <c r="H22" t="s">
        <v>115</v>
      </c>
    </row>
    <row r="23" spans="1:8" x14ac:dyDescent="0.25">
      <c r="A23" t="s">
        <v>116</v>
      </c>
      <c r="B23" t="s">
        <v>117</v>
      </c>
      <c r="C23" t="s">
        <v>118</v>
      </c>
      <c r="D23" s="5">
        <v>33.181194472222202</v>
      </c>
      <c r="E23" s="5">
        <v>29.717923333333299</v>
      </c>
      <c r="F23" s="5">
        <v>28.2905147647059</v>
      </c>
      <c r="G23" t="s">
        <v>119</v>
      </c>
      <c r="H23" t="s">
        <v>59</v>
      </c>
    </row>
    <row r="24" spans="1:8" x14ac:dyDescent="0.25">
      <c r="A24" t="s">
        <v>120</v>
      </c>
      <c r="B24" t="s">
        <v>117</v>
      </c>
      <c r="C24" t="s">
        <v>118</v>
      </c>
      <c r="D24" s="5">
        <v>37.455499361111102</v>
      </c>
      <c r="E24" s="5">
        <v>33.291159909090901</v>
      </c>
      <c r="F24" s="5">
        <v>30.850323676470602</v>
      </c>
      <c r="G24" t="s">
        <v>121</v>
      </c>
      <c r="H24" t="s">
        <v>59</v>
      </c>
    </row>
    <row r="25" spans="1:8" x14ac:dyDescent="0.25">
      <c r="A25" t="s">
        <v>122</v>
      </c>
      <c r="B25" t="s">
        <v>117</v>
      </c>
      <c r="C25" t="s">
        <v>118</v>
      </c>
      <c r="D25" s="5">
        <v>29.120502218430001</v>
      </c>
      <c r="E25" s="5">
        <v>26.096100851516798</v>
      </c>
      <c r="F25" s="5">
        <v>25.3125658421053</v>
      </c>
      <c r="G25" t="s">
        <v>123</v>
      </c>
      <c r="H25" t="s">
        <v>59</v>
      </c>
    </row>
    <row r="26" spans="1:8" x14ac:dyDescent="0.25">
      <c r="A26" t="s">
        <v>124</v>
      </c>
      <c r="B26" t="s">
        <v>117</v>
      </c>
      <c r="C26" t="s">
        <v>118</v>
      </c>
      <c r="D26" s="5">
        <v>32.871720550950798</v>
      </c>
      <c r="E26" s="5">
        <v>29.233855162320399</v>
      </c>
      <c r="F26" s="5">
        <v>27.602921184210501</v>
      </c>
      <c r="G26" t="s">
        <v>125</v>
      </c>
      <c r="H26" t="s">
        <v>59</v>
      </c>
    </row>
    <row r="27" spans="1:8" x14ac:dyDescent="0.25">
      <c r="A27" t="s">
        <v>126</v>
      </c>
      <c r="B27" t="s">
        <v>127</v>
      </c>
      <c r="C27" t="s">
        <v>118</v>
      </c>
      <c r="D27" s="5">
        <v>5.6090019569471599</v>
      </c>
      <c r="E27" s="5">
        <v>5.2986301369862998</v>
      </c>
      <c r="F27" s="5">
        <v>4.4222222222222198</v>
      </c>
      <c r="G27" t="s">
        <v>39</v>
      </c>
      <c r="H27" t="s">
        <v>128</v>
      </c>
    </row>
    <row r="28" spans="1:8" x14ac:dyDescent="0.25">
      <c r="A28" t="s">
        <v>129</v>
      </c>
      <c r="B28" t="s">
        <v>14</v>
      </c>
      <c r="C28" t="s">
        <v>118</v>
      </c>
      <c r="D28" s="5">
        <v>55.352161524975301</v>
      </c>
      <c r="E28" s="5">
        <v>67.039834948145099</v>
      </c>
      <c r="F28" s="5">
        <v>68.082805245303803</v>
      </c>
      <c r="G28" t="s">
        <v>130</v>
      </c>
      <c r="H28" t="s">
        <v>131</v>
      </c>
    </row>
    <row r="29" spans="1:8" x14ac:dyDescent="0.25">
      <c r="A29" t="s">
        <v>132</v>
      </c>
      <c r="B29" t="s">
        <v>117</v>
      </c>
      <c r="C29" t="s">
        <v>118</v>
      </c>
      <c r="D29" s="5">
        <v>2158.0421940000001</v>
      </c>
      <c r="E29" s="5">
        <v>1462.8488729999999</v>
      </c>
      <c r="F29" s="5">
        <v>1412.805331</v>
      </c>
      <c r="G29" t="s">
        <v>59</v>
      </c>
      <c r="H29" t="s">
        <v>133</v>
      </c>
    </row>
    <row r="30" spans="1:8" x14ac:dyDescent="0.25">
      <c r="A30" t="s">
        <v>134</v>
      </c>
      <c r="B30" t="s">
        <v>117</v>
      </c>
      <c r="C30" t="s">
        <v>118</v>
      </c>
      <c r="D30" s="5">
        <v>1194.523001</v>
      </c>
      <c r="E30" s="5">
        <v>980.69146999999998</v>
      </c>
      <c r="F30" s="5">
        <v>961.87750200000005</v>
      </c>
      <c r="G30" t="s">
        <v>59</v>
      </c>
      <c r="H30" t="s">
        <v>59</v>
      </c>
    </row>
    <row r="31" spans="1:8" x14ac:dyDescent="0.25">
      <c r="A31" t="s">
        <v>135</v>
      </c>
      <c r="B31" t="s">
        <v>117</v>
      </c>
      <c r="C31" t="s">
        <v>118</v>
      </c>
      <c r="D31" s="5">
        <v>1348.3979770000001</v>
      </c>
      <c r="E31" s="5">
        <v>1098.608277</v>
      </c>
      <c r="F31" s="5">
        <v>1048.9110049999999</v>
      </c>
      <c r="G31" t="s">
        <v>59</v>
      </c>
      <c r="H31" t="s">
        <v>136</v>
      </c>
    </row>
    <row r="32" spans="1:8" x14ac:dyDescent="0.25">
      <c r="A32" t="s">
        <v>216</v>
      </c>
      <c r="B32" t="s">
        <v>117</v>
      </c>
      <c r="D32" s="17">
        <v>1811.76</v>
      </c>
      <c r="E32" s="17">
        <v>1124.5999999999999</v>
      </c>
      <c r="F32" s="17">
        <v>1200.8</v>
      </c>
    </row>
    <row r="33" spans="1:8" x14ac:dyDescent="0.25">
      <c r="A33" t="s">
        <v>143</v>
      </c>
      <c r="B33" t="s">
        <v>14</v>
      </c>
      <c r="D33" s="15">
        <v>-33.76</v>
      </c>
      <c r="E33" s="15">
        <v>-24.71</v>
      </c>
      <c r="F33" s="15">
        <v>-20.11</v>
      </c>
    </row>
    <row r="34" spans="1:8" x14ac:dyDescent="0.25">
      <c r="A34" t="s">
        <v>137</v>
      </c>
      <c r="B34" t="s">
        <v>138</v>
      </c>
      <c r="C34" t="s">
        <v>139</v>
      </c>
      <c r="D34" s="6"/>
      <c r="E34" s="6"/>
      <c r="F34" s="6"/>
      <c r="G34" t="s">
        <v>35</v>
      </c>
      <c r="H34" t="s">
        <v>140</v>
      </c>
    </row>
    <row r="35" spans="1:8" x14ac:dyDescent="0.25">
      <c r="A35" t="s">
        <v>217</v>
      </c>
      <c r="B35" t="s">
        <v>14</v>
      </c>
      <c r="C35" t="s">
        <v>118</v>
      </c>
      <c r="D35" s="5">
        <v>1.5223008656335799</v>
      </c>
      <c r="E35" s="5">
        <v>2.1200444948491999</v>
      </c>
      <c r="F35" s="5">
        <v>2.2118132140598501</v>
      </c>
      <c r="G35" t="s">
        <v>22</v>
      </c>
      <c r="H35" t="s">
        <v>218</v>
      </c>
    </row>
    <row r="36" spans="1:8" x14ac:dyDescent="0.25">
      <c r="A36" t="s">
        <v>219</v>
      </c>
      <c r="B36" t="s">
        <v>14</v>
      </c>
      <c r="C36" t="s">
        <v>118</v>
      </c>
      <c r="D36" s="5">
        <v>98.477699134366404</v>
      </c>
      <c r="E36" s="5">
        <v>97.879955505150804</v>
      </c>
      <c r="F36" s="5">
        <v>97.788186785940098</v>
      </c>
      <c r="G36" t="s">
        <v>22</v>
      </c>
      <c r="H36" t="s">
        <v>220</v>
      </c>
    </row>
    <row r="37" spans="1:8" x14ac:dyDescent="0.25">
      <c r="A37" t="s">
        <v>144</v>
      </c>
      <c r="B37" t="s">
        <v>14</v>
      </c>
      <c r="C37" t="s">
        <v>118</v>
      </c>
      <c r="D37" s="5">
        <v>47.523249587245601</v>
      </c>
      <c r="E37" s="5">
        <v>3.5421399468091401</v>
      </c>
      <c r="F37" s="5">
        <v>4.7843897913801996</v>
      </c>
      <c r="G37" t="s">
        <v>35</v>
      </c>
      <c r="H37" t="s">
        <v>145</v>
      </c>
    </row>
    <row r="38" spans="1:8" x14ac:dyDescent="0.25">
      <c r="A38" t="s">
        <v>146</v>
      </c>
      <c r="B38" t="s">
        <v>14</v>
      </c>
      <c r="C38" t="s">
        <v>118</v>
      </c>
      <c r="D38" s="5">
        <v>7.1524083489422097</v>
      </c>
      <c r="E38" s="5">
        <v>5.7009688731522701</v>
      </c>
      <c r="F38" s="5">
        <v>-55.100614496211001</v>
      </c>
      <c r="G38" t="s">
        <v>35</v>
      </c>
      <c r="H38" t="s">
        <v>147</v>
      </c>
    </row>
    <row r="39" spans="1:8" x14ac:dyDescent="0.25">
      <c r="A39" t="s">
        <v>148</v>
      </c>
      <c r="B39" t="s">
        <v>14</v>
      </c>
      <c r="C39" t="s">
        <v>118</v>
      </c>
      <c r="D39" s="5">
        <v>49.786712568384701</v>
      </c>
      <c r="E39" s="5">
        <v>-3.0919975858712401</v>
      </c>
      <c r="F39" s="5">
        <v>1.9848313111378899</v>
      </c>
      <c r="G39" t="s">
        <v>35</v>
      </c>
      <c r="H39" t="s">
        <v>149</v>
      </c>
    </row>
    <row r="40" spans="1:8" x14ac:dyDescent="0.25">
      <c r="A40" t="s">
        <v>150</v>
      </c>
      <c r="B40" t="s">
        <v>14</v>
      </c>
      <c r="C40" t="s">
        <v>118</v>
      </c>
      <c r="D40" s="5">
        <v>4.0129635699760904</v>
      </c>
      <c r="E40" s="5">
        <v>-5.8617490736415103</v>
      </c>
      <c r="F40" s="5">
        <v>-77.705781658894196</v>
      </c>
      <c r="G40" t="s">
        <v>35</v>
      </c>
      <c r="H40" t="s">
        <v>151</v>
      </c>
    </row>
    <row r="41" spans="1:8" x14ac:dyDescent="0.25">
      <c r="A41" t="s">
        <v>152</v>
      </c>
      <c r="B41" t="s">
        <v>14</v>
      </c>
      <c r="C41" t="s">
        <v>118</v>
      </c>
      <c r="D41" s="5">
        <v>84.915950015079105</v>
      </c>
      <c r="E41" s="5">
        <v>-6.4516423819583402</v>
      </c>
      <c r="F41" s="5">
        <v>-19.988351991571001</v>
      </c>
      <c r="G41" t="s">
        <v>35</v>
      </c>
      <c r="H41" t="s">
        <v>153</v>
      </c>
    </row>
    <row r="42" spans="1:8" x14ac:dyDescent="0.25">
      <c r="A42" t="s">
        <v>164</v>
      </c>
      <c r="B42" t="s">
        <v>59</v>
      </c>
      <c r="C42" t="s">
        <v>102</v>
      </c>
      <c r="D42" s="6">
        <v>0.35</v>
      </c>
      <c r="E42" s="6">
        <v>0.37</v>
      </c>
      <c r="F42" s="6">
        <v>0.47</v>
      </c>
      <c r="G42" t="s">
        <v>165</v>
      </c>
      <c r="H42" t="s">
        <v>166</v>
      </c>
    </row>
    <row r="43" spans="1:8" x14ac:dyDescent="0.25">
      <c r="A43" t="s">
        <v>167</v>
      </c>
      <c r="B43" t="s">
        <v>101</v>
      </c>
      <c r="C43" t="s">
        <v>102</v>
      </c>
      <c r="D43" s="6">
        <v>7</v>
      </c>
      <c r="E43" s="6">
        <v>7</v>
      </c>
      <c r="F43" s="6">
        <v>9</v>
      </c>
      <c r="G43" t="s">
        <v>168</v>
      </c>
      <c r="H43" t="s">
        <v>59</v>
      </c>
    </row>
    <row r="44" spans="1:8" x14ac:dyDescent="0.25">
      <c r="A44" t="s">
        <v>169</v>
      </c>
      <c r="B44" t="s">
        <v>101</v>
      </c>
      <c r="C44" t="s">
        <v>102</v>
      </c>
      <c r="D44" s="6">
        <v>20</v>
      </c>
      <c r="E44" s="6">
        <v>19</v>
      </c>
      <c r="F44" s="6">
        <v>19</v>
      </c>
      <c r="G44" t="s">
        <v>168</v>
      </c>
      <c r="H44" t="s">
        <v>59</v>
      </c>
    </row>
    <row r="45" spans="1:8" x14ac:dyDescent="0.25">
      <c r="A45" t="s">
        <v>221</v>
      </c>
      <c r="B45" t="s">
        <v>14</v>
      </c>
      <c r="C45" t="s">
        <v>102</v>
      </c>
      <c r="D45" s="6">
        <v>57.14</v>
      </c>
      <c r="E45" s="6">
        <v>57.14</v>
      </c>
      <c r="F45" s="6">
        <v>55.56</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42.86</v>
      </c>
      <c r="E47" s="6">
        <v>42.86</v>
      </c>
      <c r="F47" s="6">
        <v>44.44</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1217113.5185185201</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5">
        <v>7.3908942810597598</v>
      </c>
      <c r="E58" s="5">
        <v>8.9001220569813402</v>
      </c>
      <c r="F58" s="5">
        <v>7.4680557154368596</v>
      </c>
      <c r="G58" t="s">
        <v>59</v>
      </c>
      <c r="H58" t="s">
        <v>213</v>
      </c>
    </row>
    <row r="59" spans="1:8" x14ac:dyDescent="0.25">
      <c r="A59" t="s">
        <v>214</v>
      </c>
      <c r="B59" t="s">
        <v>14</v>
      </c>
      <c r="C59" t="s">
        <v>15</v>
      </c>
      <c r="D59" s="5">
        <v>0.13076098606645201</v>
      </c>
      <c r="E59" s="5">
        <v>0.119741100323625</v>
      </c>
      <c r="F59" s="5">
        <v>0.17931034482758601</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[1]烧伤整形科!$O$4</f>
        <v>髋和下肢烧伤</v>
      </c>
      <c r="E72" s="10" t="str">
        <f>[1]烧伤整形科!$I$4</f>
        <v>身体多个部位的烧伤</v>
      </c>
      <c r="F72" s="10" t="str">
        <f>[1]烧伤整形科!$C$4</f>
        <v>身体多个部位的烧伤</v>
      </c>
      <c r="G72" t="s">
        <v>59</v>
      </c>
      <c r="H72" t="s">
        <v>59</v>
      </c>
    </row>
    <row r="73" spans="1:8" x14ac:dyDescent="0.25">
      <c r="A73" t="s">
        <v>241</v>
      </c>
      <c r="B73" t="s">
        <v>59</v>
      </c>
      <c r="C73" t="s">
        <v>90</v>
      </c>
      <c r="D73" s="10" t="str">
        <f>[1]烧伤整形科!$N$4</f>
        <v>T24</v>
      </c>
      <c r="E73" s="10" t="str">
        <f>[1]烧伤整形科!$H$4</f>
        <v>T29</v>
      </c>
      <c r="F73" s="10" t="str">
        <f>[1]烧伤整形科!$B$4</f>
        <v>T29</v>
      </c>
      <c r="G73" t="s">
        <v>59</v>
      </c>
      <c r="H73" t="s">
        <v>59</v>
      </c>
    </row>
    <row r="74" spans="1:8" x14ac:dyDescent="0.25">
      <c r="A74" t="s">
        <v>242</v>
      </c>
      <c r="B74" t="s">
        <v>14</v>
      </c>
      <c r="C74" t="s">
        <v>90</v>
      </c>
      <c r="D74" s="10">
        <f>[1]烧伤整形科!$Q$4</f>
        <v>14.482758620689699</v>
      </c>
      <c r="E74" s="10">
        <f>[1]烧伤整形科!$K$4</f>
        <v>25.350593311758399</v>
      </c>
      <c r="F74" s="10">
        <f>[1]烧伤整形科!$E$4</f>
        <v>31.8327974276527</v>
      </c>
      <c r="G74" t="s">
        <v>59</v>
      </c>
      <c r="H74" t="s">
        <v>59</v>
      </c>
    </row>
    <row r="75" spans="1:8" x14ac:dyDescent="0.25">
      <c r="A75" t="s">
        <v>243</v>
      </c>
      <c r="B75" t="s">
        <v>59</v>
      </c>
      <c r="C75" t="s">
        <v>90</v>
      </c>
      <c r="D75" s="10" t="str">
        <f>[1]烧伤整形科!$O$5</f>
        <v>头部开放性伤口</v>
      </c>
      <c r="E75" s="10" t="str">
        <f>[1]烧伤整形科!$I$5</f>
        <v>头部开放性伤口</v>
      </c>
      <c r="F75" s="10" t="str">
        <f>[1]烧伤整形科!$C$5</f>
        <v>头部开放性伤口</v>
      </c>
      <c r="G75" t="s">
        <v>59</v>
      </c>
      <c r="H75" t="s">
        <v>59</v>
      </c>
    </row>
    <row r="76" spans="1:8" x14ac:dyDescent="0.25">
      <c r="A76" t="s">
        <v>244</v>
      </c>
      <c r="B76" t="s">
        <v>59</v>
      </c>
      <c r="C76" t="s">
        <v>90</v>
      </c>
      <c r="D76" s="10" t="str">
        <f>[1]烧伤整形科!$N$5</f>
        <v>S01</v>
      </c>
      <c r="E76" s="10" t="str">
        <f>[1]烧伤整形科!$H$5</f>
        <v>S01</v>
      </c>
      <c r="F76" s="10" t="str">
        <f>[1]烧伤整形科!$B$5</f>
        <v>S01</v>
      </c>
      <c r="G76" t="s">
        <v>59</v>
      </c>
      <c r="H76" t="s">
        <v>59</v>
      </c>
    </row>
    <row r="77" spans="1:8" x14ac:dyDescent="0.25">
      <c r="A77" t="s">
        <v>245</v>
      </c>
      <c r="B77" t="s">
        <v>14</v>
      </c>
      <c r="C77" t="s">
        <v>90</v>
      </c>
      <c r="D77" s="10">
        <f>[1]烧伤整形科!$Q$5</f>
        <v>13.908045977011501</v>
      </c>
      <c r="E77" s="10">
        <f>[1]烧伤整形科!$K$5</f>
        <v>11.758360302049599</v>
      </c>
      <c r="F77" s="10">
        <f>[1]烧伤整形科!$E$5</f>
        <v>9.8606645230439405</v>
      </c>
      <c r="G77" t="s">
        <v>59</v>
      </c>
      <c r="H77" t="s">
        <v>59</v>
      </c>
    </row>
    <row r="78" spans="1:8" x14ac:dyDescent="0.25">
      <c r="A78" t="s">
        <v>246</v>
      </c>
      <c r="B78" t="s">
        <v>59</v>
      </c>
      <c r="C78" t="s">
        <v>90</v>
      </c>
      <c r="D78" s="10" t="str">
        <f>[1]烧伤整形科!$O$6</f>
        <v>躯干烧伤</v>
      </c>
      <c r="E78" s="10" t="str">
        <f>[1]烧伤整形科!$I$6</f>
        <v>髋和下肢烧伤</v>
      </c>
      <c r="F78" s="10" t="str">
        <f>[1]烧伤整形科!$C$6</f>
        <v>髋和下肢烧伤</v>
      </c>
      <c r="G78" t="s">
        <v>59</v>
      </c>
      <c r="H78" t="s">
        <v>59</v>
      </c>
    </row>
    <row r="79" spans="1:8" x14ac:dyDescent="0.25">
      <c r="A79" t="s">
        <v>247</v>
      </c>
      <c r="B79" t="s">
        <v>59</v>
      </c>
      <c r="C79" t="s">
        <v>90</v>
      </c>
      <c r="D79" s="10" t="str">
        <f>[1]烧伤整形科!$N$6</f>
        <v>T21</v>
      </c>
      <c r="E79" s="10" t="str">
        <f>[1]烧伤整形科!$H$6</f>
        <v>T24</v>
      </c>
      <c r="F79" s="10" t="str">
        <f>[1]烧伤整形科!$B$6</f>
        <v>T24</v>
      </c>
      <c r="G79" t="s">
        <v>59</v>
      </c>
      <c r="H79" t="s">
        <v>59</v>
      </c>
    </row>
    <row r="80" spans="1:8" x14ac:dyDescent="0.25">
      <c r="A80" t="s">
        <v>248</v>
      </c>
      <c r="B80" t="s">
        <v>14</v>
      </c>
      <c r="C80" t="s">
        <v>90</v>
      </c>
      <c r="D80" s="10">
        <f>[1]烧伤整形科!$Q$6</f>
        <v>11.034482758620699</v>
      </c>
      <c r="E80" s="10">
        <f>[1]烧伤整形科!$K$6</f>
        <v>9.3851132686084107</v>
      </c>
      <c r="F80" s="10">
        <f>[1]烧伤整形科!$E$6</f>
        <v>9.7534833869239002</v>
      </c>
      <c r="G80" t="s">
        <v>59</v>
      </c>
      <c r="H80" t="s">
        <v>59</v>
      </c>
    </row>
    <row r="81" spans="1:8" x14ac:dyDescent="0.25">
      <c r="A81" t="s">
        <v>249</v>
      </c>
      <c r="B81" t="s">
        <v>59</v>
      </c>
      <c r="C81" t="s">
        <v>90</v>
      </c>
      <c r="D81" s="10" t="str">
        <f>[1]烧伤整形科!$O$7</f>
        <v>肩和上肢烧伤</v>
      </c>
      <c r="E81" s="10" t="str">
        <f>[1]烧伤整形科!$I$7</f>
        <v>肩和上肢烧伤</v>
      </c>
      <c r="F81" s="10" t="str">
        <f>[1]烧伤整形科!$C$7</f>
        <v>肩和上肢烧伤</v>
      </c>
      <c r="G81" t="s">
        <v>59</v>
      </c>
      <c r="H81" t="s">
        <v>59</v>
      </c>
    </row>
    <row r="82" spans="1:8" x14ac:dyDescent="0.25">
      <c r="A82" t="s">
        <v>250</v>
      </c>
      <c r="B82" t="s">
        <v>59</v>
      </c>
      <c r="C82" t="s">
        <v>90</v>
      </c>
      <c r="D82" s="10" t="str">
        <f>[1]烧伤整形科!$N$7</f>
        <v>T22</v>
      </c>
      <c r="E82" s="10" t="str">
        <f>[1]烧伤整形科!$H$7</f>
        <v>T22</v>
      </c>
      <c r="F82" s="10" t="str">
        <f>[1]烧伤整形科!$B$7</f>
        <v>T22</v>
      </c>
      <c r="G82" t="s">
        <v>59</v>
      </c>
      <c r="H82" t="s">
        <v>59</v>
      </c>
    </row>
    <row r="83" spans="1:8" x14ac:dyDescent="0.25">
      <c r="A83" t="s">
        <v>251</v>
      </c>
      <c r="B83" t="s">
        <v>14</v>
      </c>
      <c r="C83" t="s">
        <v>90</v>
      </c>
      <c r="D83" s="10">
        <f>[1]烧伤整形科!$Q$7</f>
        <v>9.31034482758621</v>
      </c>
      <c r="E83" s="10">
        <f>[1]烧伤整形科!$K$7</f>
        <v>4.3149946062567404</v>
      </c>
      <c r="F83" s="10">
        <f>[1]烧伤整形科!$E$7</f>
        <v>4.2872454448017097</v>
      </c>
      <c r="G83" t="s">
        <v>59</v>
      </c>
      <c r="H83" t="s">
        <v>59</v>
      </c>
    </row>
    <row r="84" spans="1:8" x14ac:dyDescent="0.25">
      <c r="A84" t="s">
        <v>252</v>
      </c>
      <c r="B84" t="s">
        <v>59</v>
      </c>
      <c r="C84" t="s">
        <v>90</v>
      </c>
      <c r="D84" s="10" t="str">
        <f>[1]烧伤整形科!$O$8</f>
        <v>受压区褥疮</v>
      </c>
      <c r="E84" s="10" t="str">
        <f>[1]烧伤整形科!$I$8</f>
        <v>皮肤慢性溃疡，不可归类在他处者</v>
      </c>
      <c r="F84" s="10" t="str">
        <f>[1]烧伤整形科!$C$8</f>
        <v>踝和足烧伤</v>
      </c>
      <c r="G84" t="s">
        <v>59</v>
      </c>
      <c r="H84" t="s">
        <v>59</v>
      </c>
    </row>
    <row r="85" spans="1:8" x14ac:dyDescent="0.25">
      <c r="A85" t="s">
        <v>253</v>
      </c>
      <c r="B85" t="s">
        <v>59</v>
      </c>
      <c r="C85" t="s">
        <v>90</v>
      </c>
      <c r="D85" s="10" t="str">
        <f>[1]烧伤整形科!$N$8</f>
        <v>L89</v>
      </c>
      <c r="E85" s="10" t="str">
        <f>[1]烧伤整形科!$H$8</f>
        <v>L98.4</v>
      </c>
      <c r="F85" s="10" t="str">
        <f>[1]烧伤整形科!$B$8</f>
        <v>T25</v>
      </c>
      <c r="G85" t="s">
        <v>59</v>
      </c>
      <c r="H85" t="s">
        <v>59</v>
      </c>
    </row>
    <row r="86" spans="1:8" x14ac:dyDescent="0.25">
      <c r="A86" t="s">
        <v>254</v>
      </c>
      <c r="B86" t="s">
        <v>14</v>
      </c>
      <c r="C86" t="s">
        <v>90</v>
      </c>
      <c r="D86" s="10">
        <f>[1]烧伤整形科!$Q$8</f>
        <v>6.4367816091953998</v>
      </c>
      <c r="E86" s="10">
        <f>[1]烧伤整形科!$K$8</f>
        <v>3.9913700107874899</v>
      </c>
      <c r="F86" s="10">
        <f>[1]烧伤整形科!$E$8</f>
        <v>2.7867095391211101</v>
      </c>
      <c r="G86" t="s">
        <v>59</v>
      </c>
      <c r="H86" t="s">
        <v>59</v>
      </c>
    </row>
    <row r="87" spans="1:8" x14ac:dyDescent="0.25">
      <c r="A87" t="s">
        <v>255</v>
      </c>
      <c r="B87" t="s">
        <v>59</v>
      </c>
      <c r="C87" t="s">
        <v>90</v>
      </c>
      <c r="D87" s="22" t="str">
        <f>[2]烧伤整形科!$O$4</f>
        <v>伤口、感染或烧伤的切除性清创术</v>
      </c>
      <c r="E87" s="22" t="str">
        <f>[2]烧伤整形科!$I$4</f>
        <v>皮肤裂伤清创缝合术(除外胸壁、腹壁）</v>
      </c>
      <c r="F87" s="22" t="str">
        <f>[2]烧伤整形科!$C$4</f>
        <v>上下肢游离皮片移植术</v>
      </c>
      <c r="G87" t="s">
        <v>59</v>
      </c>
      <c r="H87" t="s">
        <v>59</v>
      </c>
    </row>
    <row r="88" spans="1:8" x14ac:dyDescent="0.25">
      <c r="A88" t="s">
        <v>256</v>
      </c>
      <c r="B88" t="s">
        <v>59</v>
      </c>
      <c r="C88" t="s">
        <v>90</v>
      </c>
      <c r="D88" s="23">
        <f>[2]烧伤整形科!$N$4</f>
        <v>86.22</v>
      </c>
      <c r="E88" s="23">
        <f>[2]烧伤整形科!$H$4</f>
        <v>86.59</v>
      </c>
      <c r="F88" s="23">
        <f>[2]烧伤整形科!$B$4</f>
        <v>86.69</v>
      </c>
      <c r="G88" t="s">
        <v>59</v>
      </c>
      <c r="H88" t="s">
        <v>59</v>
      </c>
    </row>
    <row r="89" spans="1:8" x14ac:dyDescent="0.25">
      <c r="A89" t="s">
        <v>257</v>
      </c>
      <c r="B89" t="s">
        <v>14</v>
      </c>
      <c r="C89" t="s">
        <v>90</v>
      </c>
      <c r="D89" s="24">
        <f>[2]烧伤整形科!$Q$4</f>
        <v>30.473372781065098</v>
      </c>
      <c r="E89" s="24">
        <f>[2]烧伤整形科!$K$4</f>
        <v>31.541218637992799</v>
      </c>
      <c r="F89" s="24">
        <f>[2]烧伤整形科!$E$4</f>
        <v>46.255506607929497</v>
      </c>
      <c r="G89" t="s">
        <v>59</v>
      </c>
      <c r="H89" t="s">
        <v>59</v>
      </c>
    </row>
    <row r="90" spans="1:8" x14ac:dyDescent="0.25">
      <c r="A90" t="s">
        <v>258</v>
      </c>
      <c r="B90" t="s">
        <v>59</v>
      </c>
      <c r="C90" t="s">
        <v>90</v>
      </c>
      <c r="D90" s="25" t="str">
        <f>[2]烧伤整形科!$O$5</f>
        <v>皮肤缝合术</v>
      </c>
      <c r="E90" s="25" t="str">
        <f>[2]烧伤整形科!$I$5</f>
        <v>下肢游离皮片移植术</v>
      </c>
      <c r="F90" s="25" t="str">
        <f>[2]烧伤整形科!$C$5</f>
        <v>皮肤裂伤清创缝合术(除外胸壁、腹壁）</v>
      </c>
      <c r="G90" t="s">
        <v>59</v>
      </c>
      <c r="H90" t="s">
        <v>59</v>
      </c>
    </row>
    <row r="91" spans="1:8" x14ac:dyDescent="0.25">
      <c r="A91" t="s">
        <v>259</v>
      </c>
      <c r="B91" t="s">
        <v>59</v>
      </c>
      <c r="C91" t="s">
        <v>90</v>
      </c>
      <c r="D91" s="26">
        <f>[2]烧伤整形科!$N$5</f>
        <v>86.59</v>
      </c>
      <c r="E91" s="26">
        <f>[2]烧伤整形科!$H$5</f>
        <v>86.69</v>
      </c>
      <c r="F91" s="26">
        <f>[2]烧伤整形科!$B$5</f>
        <v>86.59</v>
      </c>
      <c r="G91" t="s">
        <v>59</v>
      </c>
      <c r="H91" t="s">
        <v>59</v>
      </c>
    </row>
    <row r="92" spans="1:8" x14ac:dyDescent="0.25">
      <c r="A92" t="s">
        <v>260</v>
      </c>
      <c r="B92" t="s">
        <v>14</v>
      </c>
      <c r="C92" t="s">
        <v>90</v>
      </c>
      <c r="D92" s="24">
        <f>[2]烧伤整形科!$Q$5</f>
        <v>26.035502958579901</v>
      </c>
      <c r="E92" s="24">
        <f>[2]烧伤整形科!$K$5</f>
        <v>29.390681003584199</v>
      </c>
      <c r="F92" s="24">
        <f>[2]烧伤整形科!$E$5</f>
        <v>30.3964757709251</v>
      </c>
      <c r="G92" t="s">
        <v>59</v>
      </c>
      <c r="H92" t="s">
        <v>59</v>
      </c>
    </row>
    <row r="93" spans="1:8" x14ac:dyDescent="0.25">
      <c r="A93" t="s">
        <v>261</v>
      </c>
      <c r="B93" t="s">
        <v>59</v>
      </c>
      <c r="C93" t="s">
        <v>90</v>
      </c>
      <c r="D93" s="27" t="str">
        <f>[2]烧伤整形科!$O$6</f>
        <v>中厚皮片移植术</v>
      </c>
      <c r="E93" s="27" t="str">
        <f>[2]烧伤整形科!$I$6</f>
        <v>躯干皮肤皮下组织伤口切除性清创术</v>
      </c>
      <c r="F93" s="27" t="str">
        <f>[2]烧伤整形科!$C$6</f>
        <v>躯干皮肤皮下组织伤口切除性清创术</v>
      </c>
      <c r="G93" t="s">
        <v>59</v>
      </c>
      <c r="H93" t="s">
        <v>59</v>
      </c>
    </row>
    <row r="94" spans="1:8" x14ac:dyDescent="0.25">
      <c r="A94" t="s">
        <v>262</v>
      </c>
      <c r="B94" t="s">
        <v>59</v>
      </c>
      <c r="C94" t="s">
        <v>90</v>
      </c>
      <c r="D94" s="28">
        <f>[2]烧伤整形科!$N$6</f>
        <v>86.69</v>
      </c>
      <c r="E94" s="28">
        <f>[2]烧伤整形科!$H$6</f>
        <v>86.22</v>
      </c>
      <c r="F94" s="28">
        <f>[2]烧伤整形科!$B$6</f>
        <v>86.22</v>
      </c>
      <c r="G94" t="s">
        <v>59</v>
      </c>
      <c r="H94" t="s">
        <v>59</v>
      </c>
    </row>
    <row r="95" spans="1:8" x14ac:dyDescent="0.25">
      <c r="A95" t="s">
        <v>263</v>
      </c>
      <c r="B95" t="s">
        <v>14</v>
      </c>
      <c r="C95" t="s">
        <v>90</v>
      </c>
      <c r="D95" s="24">
        <f>[2]烧伤整形科!$Q$6</f>
        <v>20.414201183431999</v>
      </c>
      <c r="E95" s="24">
        <f>[2]烧伤整形科!$K$6</f>
        <v>26.164874551971302</v>
      </c>
      <c r="F95" s="24">
        <f>[2]烧伤整形科!$E$6</f>
        <v>26.431718061674001</v>
      </c>
      <c r="G95" t="s">
        <v>59</v>
      </c>
      <c r="H95" t="s">
        <v>59</v>
      </c>
    </row>
    <row r="96" spans="1:8" x14ac:dyDescent="0.25">
      <c r="A96" t="s">
        <v>264</v>
      </c>
      <c r="B96" t="s">
        <v>59</v>
      </c>
      <c r="C96" t="s">
        <v>90</v>
      </c>
      <c r="D96" s="24" t="str">
        <f>[2]烧伤整形科!$O$7</f>
        <v>皮肤病损根治性切除术</v>
      </c>
      <c r="E96" s="24" t="str">
        <f>[2]烧伤整形科!$I$7</f>
        <v>局部皮瓣移植术(邻近皮瓣移植术)</v>
      </c>
      <c r="F96" s="24" t="str">
        <f>[2]烧伤整形科!$C$7</f>
        <v>局部皮瓣移植术(邻近皮瓣移植术)</v>
      </c>
      <c r="G96" t="s">
        <v>59</v>
      </c>
      <c r="H96" t="s">
        <v>59</v>
      </c>
    </row>
    <row r="97" spans="1:8" x14ac:dyDescent="0.25">
      <c r="A97" t="s">
        <v>265</v>
      </c>
      <c r="B97" t="s">
        <v>59</v>
      </c>
      <c r="C97" t="s">
        <v>90</v>
      </c>
      <c r="D97" s="25" t="str">
        <f>[2]烧伤整形科!$N$7</f>
        <v>86.4x</v>
      </c>
      <c r="E97" s="25">
        <f>[2]烧伤整形科!$H$7</f>
        <v>86.74</v>
      </c>
      <c r="F97" s="25">
        <f>[2]烧伤整形科!$B$7</f>
        <v>86.74</v>
      </c>
      <c r="G97" t="s">
        <v>59</v>
      </c>
      <c r="H97" t="s">
        <v>59</v>
      </c>
    </row>
    <row r="98" spans="1:8" x14ac:dyDescent="0.25">
      <c r="A98" t="s">
        <v>266</v>
      </c>
      <c r="B98" t="s">
        <v>14</v>
      </c>
      <c r="C98" t="s">
        <v>90</v>
      </c>
      <c r="D98" s="26">
        <f>[2]烧伤整形科!$Q$7</f>
        <v>7.9881656804733696</v>
      </c>
      <c r="E98" s="26">
        <f>[2]烧伤整形科!$K$7</f>
        <v>11.469534050179201</v>
      </c>
      <c r="F98" s="26">
        <f>[2]烧伤整形科!$E$7</f>
        <v>14.5374449339207</v>
      </c>
      <c r="G98" t="s">
        <v>59</v>
      </c>
      <c r="H98" t="s">
        <v>59</v>
      </c>
    </row>
    <row r="99" spans="1:8" x14ac:dyDescent="0.25">
      <c r="A99" t="s">
        <v>267</v>
      </c>
      <c r="B99" t="s">
        <v>59</v>
      </c>
      <c r="C99" t="s">
        <v>90</v>
      </c>
      <c r="D99" s="24" t="str">
        <f>[2]烧伤整形科!$O$8</f>
        <v>皮肤瘢痕切除术</v>
      </c>
      <c r="E99" s="24" t="str">
        <f>[2]烧伤整形科!$I$8</f>
        <v>皮肤病损根治性切除术</v>
      </c>
      <c r="F99" s="24" t="str">
        <f>[2]烧伤整形科!$C$8</f>
        <v>异种物植皮术</v>
      </c>
      <c r="G99" t="s">
        <v>59</v>
      </c>
      <c r="H99" t="s">
        <v>59</v>
      </c>
    </row>
    <row r="100" spans="1:8" x14ac:dyDescent="0.25">
      <c r="A100" t="s">
        <v>268</v>
      </c>
      <c r="B100" t="s">
        <v>59</v>
      </c>
      <c r="C100" t="s">
        <v>90</v>
      </c>
      <c r="D100" s="10" t="str">
        <f>[2]烧伤整形科!$N$8</f>
        <v>86.3x</v>
      </c>
      <c r="E100" s="10">
        <f>[2]烧伤整形科!$H$8</f>
        <v>86.4</v>
      </c>
      <c r="F100" s="10">
        <f>[2]烧伤整形科!$B$8</f>
        <v>86.65</v>
      </c>
      <c r="G100" t="s">
        <v>59</v>
      </c>
      <c r="H100" t="s">
        <v>59</v>
      </c>
    </row>
    <row r="101" spans="1:8" x14ac:dyDescent="0.25">
      <c r="A101" t="s">
        <v>269</v>
      </c>
      <c r="B101" t="s">
        <v>14</v>
      </c>
      <c r="C101" t="s">
        <v>90</v>
      </c>
      <c r="D101" s="10">
        <f>[2]烧伤整形科!$Q$8</f>
        <v>5.32544378698225</v>
      </c>
      <c r="E101" s="10">
        <f>[2]烧伤整形科!$K$8</f>
        <v>5.0179211469534097</v>
      </c>
      <c r="F101" s="10">
        <f>[2]烧伤整形科!$E$8</f>
        <v>6.6079295154185003</v>
      </c>
      <c r="G101" t="s">
        <v>59</v>
      </c>
      <c r="H101" t="s">
        <v>59</v>
      </c>
    </row>
  </sheetData>
  <phoneticPr fontId="10" type="noConversion"/>
  <conditionalFormatting sqref="D88">
    <cfRule type="duplicateValues" dxfId="47" priority="12"/>
  </conditionalFormatting>
  <conditionalFormatting sqref="E88">
    <cfRule type="duplicateValues" dxfId="46" priority="4"/>
  </conditionalFormatting>
  <conditionalFormatting sqref="F88">
    <cfRule type="duplicateValues" dxfId="45" priority="8"/>
  </conditionalFormatting>
  <conditionalFormatting sqref="D91">
    <cfRule type="duplicateValues" dxfId="44" priority="11"/>
  </conditionalFormatting>
  <conditionalFormatting sqref="E91">
    <cfRule type="duplicateValues" dxfId="43" priority="3"/>
  </conditionalFormatting>
  <conditionalFormatting sqref="F91">
    <cfRule type="duplicateValues" dxfId="42" priority="7"/>
  </conditionalFormatting>
  <conditionalFormatting sqref="D94">
    <cfRule type="duplicateValues" dxfId="41" priority="9"/>
  </conditionalFormatting>
  <conditionalFormatting sqref="E94">
    <cfRule type="duplicateValues" dxfId="40" priority="1"/>
  </conditionalFormatting>
  <conditionalFormatting sqref="F94">
    <cfRule type="duplicateValues" dxfId="39" priority="5"/>
  </conditionalFormatting>
  <conditionalFormatting sqref="D98">
    <cfRule type="duplicateValues" dxfId="38" priority="10"/>
  </conditionalFormatting>
  <conditionalFormatting sqref="E98">
    <cfRule type="duplicateValues" dxfId="37" priority="2"/>
  </conditionalFormatting>
  <conditionalFormatting sqref="F98">
    <cfRule type="duplicateValues" dxfId="36" priority="6"/>
  </conditionalFormatting>
  <pageMargins left="0.69930555555555596" right="0.69930555555555596" top="0.75" bottom="0.75" header="0.3" footer="0.3"/>
  <ignoredErrors>
    <ignoredError sqref="A2:B31 G2:H31 G34:H101 A34:B101 A1:H1" numberStoredAsText="1"/>
  </ignoredError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81.081081081081095</v>
      </c>
      <c r="E2" s="5">
        <v>78.629283489096593</v>
      </c>
      <c r="F2" s="5">
        <v>79.964747356051703</v>
      </c>
      <c r="G2" t="s">
        <v>16</v>
      </c>
      <c r="H2" t="s">
        <v>17</v>
      </c>
    </row>
    <row r="3" spans="1:8" x14ac:dyDescent="0.25">
      <c r="A3" t="s">
        <v>18</v>
      </c>
      <c r="B3" t="s">
        <v>14</v>
      </c>
      <c r="C3" t="s">
        <v>15</v>
      </c>
      <c r="D3" s="6">
        <v>0</v>
      </c>
      <c r="E3" s="6">
        <v>0</v>
      </c>
      <c r="F3" s="6">
        <v>0</v>
      </c>
      <c r="G3" t="s">
        <v>19</v>
      </c>
      <c r="H3" t="s">
        <v>20</v>
      </c>
    </row>
    <row r="4" spans="1:8" x14ac:dyDescent="0.25">
      <c r="A4" t="s">
        <v>21</v>
      </c>
      <c r="B4" t="s">
        <v>14</v>
      </c>
      <c r="C4" t="s">
        <v>15</v>
      </c>
      <c r="D4" s="6">
        <v>0</v>
      </c>
      <c r="E4" s="6">
        <v>0</v>
      </c>
      <c r="F4" s="6">
        <v>0</v>
      </c>
      <c r="G4" t="s">
        <v>22</v>
      </c>
      <c r="H4" t="s">
        <v>23</v>
      </c>
    </row>
    <row r="5" spans="1:8" x14ac:dyDescent="0.25">
      <c r="A5" t="s">
        <v>24</v>
      </c>
      <c r="B5" t="s">
        <v>14</v>
      </c>
      <c r="C5" t="s">
        <v>15</v>
      </c>
      <c r="D5" s="6">
        <v>46.53</v>
      </c>
      <c r="E5" s="6">
        <v>31.46</v>
      </c>
      <c r="F5" s="6">
        <v>31.96</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0.12</v>
      </c>
      <c r="E10" s="6">
        <v>0.06</v>
      </c>
      <c r="F10" s="6">
        <v>0</v>
      </c>
      <c r="G10" t="s">
        <v>58</v>
      </c>
      <c r="H10" t="s">
        <v>59</v>
      </c>
    </row>
    <row r="11" spans="1:8" x14ac:dyDescent="0.25">
      <c r="A11" t="s">
        <v>63</v>
      </c>
      <c r="B11" t="s">
        <v>64</v>
      </c>
      <c r="C11" t="s">
        <v>61</v>
      </c>
      <c r="D11" s="5">
        <v>37.719475651144002</v>
      </c>
      <c r="E11" s="5">
        <v>40.546386824608803</v>
      </c>
      <c r="F11" s="5">
        <v>35.237073424267301</v>
      </c>
      <c r="G11" t="s">
        <v>35</v>
      </c>
      <c r="H11" t="s">
        <v>65</v>
      </c>
    </row>
    <row r="12" spans="1:8" x14ac:dyDescent="0.25">
      <c r="A12" t="s">
        <v>66</v>
      </c>
      <c r="B12" t="s">
        <v>14</v>
      </c>
      <c r="C12" t="s">
        <v>61</v>
      </c>
      <c r="D12" s="6">
        <v>66.02</v>
      </c>
      <c r="E12" s="6">
        <v>43.12</v>
      </c>
      <c r="F12" s="6">
        <v>49.66</v>
      </c>
      <c r="G12" t="s">
        <v>39</v>
      </c>
      <c r="H12" t="s">
        <v>67</v>
      </c>
    </row>
    <row r="13" spans="1:8" x14ac:dyDescent="0.25">
      <c r="A13" t="s">
        <v>68</v>
      </c>
      <c r="B13" t="s">
        <v>14</v>
      </c>
      <c r="C13" t="s">
        <v>61</v>
      </c>
      <c r="D13" s="6">
        <v>99.14</v>
      </c>
      <c r="E13" s="6">
        <v>98.16</v>
      </c>
      <c r="F13" s="6">
        <v>95.97</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9.84</v>
      </c>
      <c r="E15" s="6">
        <v>10.29</v>
      </c>
      <c r="F15" s="6">
        <v>11.03</v>
      </c>
      <c r="G15" t="s">
        <v>93</v>
      </c>
      <c r="H15" t="s">
        <v>94</v>
      </c>
    </row>
    <row r="16" spans="1:8" x14ac:dyDescent="0.25">
      <c r="A16" t="s">
        <v>95</v>
      </c>
      <c r="B16" t="s">
        <v>59</v>
      </c>
      <c r="C16" t="s">
        <v>34</v>
      </c>
      <c r="D16" s="6">
        <v>0.77</v>
      </c>
      <c r="E16" s="6">
        <v>0.75</v>
      </c>
      <c r="F16" s="6">
        <v>0.77</v>
      </c>
      <c r="G16" t="s">
        <v>96</v>
      </c>
      <c r="H16" t="s">
        <v>59</v>
      </c>
    </row>
    <row r="17" spans="1:8" x14ac:dyDescent="0.25">
      <c r="A17" t="s">
        <v>97</v>
      </c>
      <c r="B17" t="s">
        <v>98</v>
      </c>
      <c r="C17" t="s">
        <v>34</v>
      </c>
      <c r="D17" s="6">
        <v>32</v>
      </c>
      <c r="E17" s="6">
        <v>23</v>
      </c>
      <c r="F17" s="6">
        <v>21</v>
      </c>
      <c r="G17" t="s">
        <v>99</v>
      </c>
      <c r="H17" t="s">
        <v>59</v>
      </c>
    </row>
    <row r="18" spans="1:8" x14ac:dyDescent="0.25">
      <c r="A18" t="s">
        <v>104</v>
      </c>
      <c r="B18" t="s">
        <v>105</v>
      </c>
      <c r="C18" t="s">
        <v>15</v>
      </c>
      <c r="D18" s="6">
        <v>44</v>
      </c>
      <c r="E18" s="6">
        <v>44</v>
      </c>
      <c r="F18" s="6">
        <v>44</v>
      </c>
      <c r="G18" t="s">
        <v>58</v>
      </c>
      <c r="H18" t="s">
        <v>59</v>
      </c>
    </row>
    <row r="19" spans="1:8" x14ac:dyDescent="0.25">
      <c r="A19" t="s">
        <v>106</v>
      </c>
      <c r="B19" t="s">
        <v>105</v>
      </c>
      <c r="C19" t="s">
        <v>15</v>
      </c>
      <c r="D19" s="6">
        <v>45</v>
      </c>
      <c r="E19" s="6">
        <v>44</v>
      </c>
      <c r="F19" s="6">
        <v>45</v>
      </c>
      <c r="G19" t="s">
        <v>58</v>
      </c>
      <c r="H19" t="s">
        <v>59</v>
      </c>
    </row>
    <row r="20" spans="1:8" x14ac:dyDescent="0.25">
      <c r="A20" t="s">
        <v>107</v>
      </c>
      <c r="B20" t="s">
        <v>14</v>
      </c>
      <c r="C20" t="s">
        <v>15</v>
      </c>
      <c r="D20" s="6">
        <v>102.98</v>
      </c>
      <c r="E20" s="6">
        <v>101.23</v>
      </c>
      <c r="F20" s="6">
        <v>116.08</v>
      </c>
      <c r="G20" t="s">
        <v>58</v>
      </c>
      <c r="H20" t="s">
        <v>108</v>
      </c>
    </row>
    <row r="21" spans="1:8" x14ac:dyDescent="0.25">
      <c r="A21" t="s">
        <v>112</v>
      </c>
      <c r="B21" t="s">
        <v>59</v>
      </c>
      <c r="C21" t="s">
        <v>102</v>
      </c>
      <c r="D21" s="5">
        <f t="shared" ref="D21:F21" si="0">D43/D19</f>
        <v>0.17777777777777778</v>
      </c>
      <c r="E21" s="5">
        <f t="shared" si="0"/>
        <v>0.18181818181818182</v>
      </c>
      <c r="F21" s="5">
        <f t="shared" si="0"/>
        <v>0.17777777777777778</v>
      </c>
      <c r="G21" t="s">
        <v>110</v>
      </c>
      <c r="H21" t="s">
        <v>113</v>
      </c>
    </row>
    <row r="22" spans="1:8" x14ac:dyDescent="0.25">
      <c r="A22" t="s">
        <v>114</v>
      </c>
      <c r="B22" t="s">
        <v>59</v>
      </c>
      <c r="C22" t="s">
        <v>102</v>
      </c>
      <c r="D22" s="5">
        <f t="shared" ref="D22:F22" si="1">D44/D19</f>
        <v>0.35555555555555557</v>
      </c>
      <c r="E22" s="5">
        <f t="shared" si="1"/>
        <v>0.38636363636363635</v>
      </c>
      <c r="F22" s="5">
        <f t="shared" si="1"/>
        <v>0.35555555555555557</v>
      </c>
      <c r="G22" t="s">
        <v>110</v>
      </c>
      <c r="H22" t="s">
        <v>115</v>
      </c>
    </row>
    <row r="23" spans="1:8" x14ac:dyDescent="0.25">
      <c r="A23" t="s">
        <v>116</v>
      </c>
      <c r="B23" t="s">
        <v>117</v>
      </c>
      <c r="C23" t="s">
        <v>118</v>
      </c>
      <c r="D23" s="5">
        <v>22.555011730769198</v>
      </c>
      <c r="E23" s="5">
        <v>22.961396807692299</v>
      </c>
      <c r="F23" s="5">
        <v>27.81337036</v>
      </c>
      <c r="G23" t="s">
        <v>119</v>
      </c>
      <c r="H23" t="s">
        <v>59</v>
      </c>
    </row>
    <row r="24" spans="1:8" x14ac:dyDescent="0.25">
      <c r="A24" t="s">
        <v>120</v>
      </c>
      <c r="B24" t="s">
        <v>117</v>
      </c>
      <c r="C24" t="s">
        <v>118</v>
      </c>
      <c r="D24" s="5">
        <v>33.197484461538501</v>
      </c>
      <c r="E24" s="5">
        <v>32.964043615384597</v>
      </c>
      <c r="F24" s="5">
        <v>38.98934088</v>
      </c>
      <c r="G24" t="s">
        <v>121</v>
      </c>
      <c r="H24" t="s">
        <v>59</v>
      </c>
    </row>
    <row r="25" spans="1:8" x14ac:dyDescent="0.25">
      <c r="A25" t="s">
        <v>122</v>
      </c>
      <c r="B25" t="s">
        <v>117</v>
      </c>
      <c r="C25" t="s">
        <v>118</v>
      </c>
      <c r="D25" s="5">
        <v>13.1280569733602</v>
      </c>
      <c r="E25" s="5">
        <v>13.3915728353522</v>
      </c>
      <c r="F25" s="5">
        <v>15.4518724222222</v>
      </c>
      <c r="G25" t="s">
        <v>123</v>
      </c>
      <c r="H25" t="s">
        <v>59</v>
      </c>
    </row>
    <row r="26" spans="1:8" x14ac:dyDescent="0.25">
      <c r="A26" t="s">
        <v>124</v>
      </c>
      <c r="B26" t="s">
        <v>117</v>
      </c>
      <c r="C26" t="s">
        <v>118</v>
      </c>
      <c r="D26" s="5">
        <v>19.322466890530599</v>
      </c>
      <c r="E26" s="5">
        <v>19.225328263795401</v>
      </c>
      <c r="F26" s="5">
        <v>21.660744933333302</v>
      </c>
      <c r="G26" t="s">
        <v>125</v>
      </c>
      <c r="H26" t="s">
        <v>59</v>
      </c>
    </row>
    <row r="27" spans="1:8" x14ac:dyDescent="0.25">
      <c r="A27" t="s">
        <v>126</v>
      </c>
      <c r="B27" t="s">
        <v>127</v>
      </c>
      <c r="C27" t="s">
        <v>118</v>
      </c>
      <c r="D27" s="5">
        <v>5.7503424657534303</v>
      </c>
      <c r="E27" s="5">
        <v>5.6568493150684898</v>
      </c>
      <c r="F27" s="5">
        <v>6.5294520547945201</v>
      </c>
      <c r="G27" t="s">
        <v>39</v>
      </c>
      <c r="H27" t="s">
        <v>128</v>
      </c>
    </row>
    <row r="28" spans="1:8" x14ac:dyDescent="0.25">
      <c r="A28" t="s">
        <v>129</v>
      </c>
      <c r="B28" t="s">
        <v>14</v>
      </c>
      <c r="C28" t="s">
        <v>118</v>
      </c>
      <c r="D28" s="5">
        <v>45.215474992315499</v>
      </c>
      <c r="E28" s="5">
        <v>49.678537107076302</v>
      </c>
      <c r="F28" s="5">
        <v>50.274559318129597</v>
      </c>
      <c r="G28" t="s">
        <v>130</v>
      </c>
      <c r="H28" t="s">
        <v>131</v>
      </c>
    </row>
    <row r="29" spans="1:8" x14ac:dyDescent="0.25">
      <c r="A29" t="s">
        <v>132</v>
      </c>
      <c r="B29" t="s">
        <v>117</v>
      </c>
      <c r="C29" t="s">
        <v>118</v>
      </c>
      <c r="D29" s="5">
        <v>1296.9681399999999</v>
      </c>
      <c r="E29" s="5">
        <v>1201.7187939999999</v>
      </c>
      <c r="F29" s="5">
        <v>1383.0738019999999</v>
      </c>
      <c r="G29" t="s">
        <v>59</v>
      </c>
      <c r="H29" t="s">
        <v>133</v>
      </c>
    </row>
    <row r="30" spans="1:8" x14ac:dyDescent="0.25">
      <c r="A30" t="s">
        <v>134</v>
      </c>
      <c r="B30" t="s">
        <v>117</v>
      </c>
      <c r="C30" t="s">
        <v>118</v>
      </c>
      <c r="D30" s="5">
        <v>586.43030499999998</v>
      </c>
      <c r="E30" s="5">
        <v>596.99631699999998</v>
      </c>
      <c r="F30" s="5">
        <v>695.33425899999997</v>
      </c>
      <c r="G30" t="s">
        <v>59</v>
      </c>
      <c r="H30" t="s">
        <v>59</v>
      </c>
    </row>
    <row r="31" spans="1:8" x14ac:dyDescent="0.25">
      <c r="A31" t="s">
        <v>135</v>
      </c>
      <c r="B31" t="s">
        <v>117</v>
      </c>
      <c r="C31" t="s">
        <v>118</v>
      </c>
      <c r="D31" s="5">
        <v>863.13459599999999</v>
      </c>
      <c r="E31" s="5">
        <v>857.06513399999994</v>
      </c>
      <c r="F31" s="5">
        <v>974.73352199999999</v>
      </c>
      <c r="G31" t="s">
        <v>59</v>
      </c>
      <c r="H31" t="s">
        <v>136</v>
      </c>
    </row>
    <row r="32" spans="1:8" x14ac:dyDescent="0.25">
      <c r="A32" t="s">
        <v>216</v>
      </c>
      <c r="B32" t="s">
        <v>117</v>
      </c>
      <c r="D32" s="17">
        <v>1095.8</v>
      </c>
      <c r="E32" s="17">
        <v>957.73</v>
      </c>
      <c r="F32" s="17">
        <v>1062.48</v>
      </c>
    </row>
    <row r="33" spans="1:8" x14ac:dyDescent="0.25">
      <c r="A33" t="s">
        <v>143</v>
      </c>
      <c r="B33" t="s">
        <v>14</v>
      </c>
      <c r="D33" s="15">
        <v>-36.33</v>
      </c>
      <c r="E33" s="15">
        <v>-44.94</v>
      </c>
      <c r="F33" s="15">
        <v>-46.84</v>
      </c>
    </row>
    <row r="34" spans="1:8" x14ac:dyDescent="0.25">
      <c r="A34" t="s">
        <v>137</v>
      </c>
      <c r="B34" t="s">
        <v>138</v>
      </c>
      <c r="C34" t="s">
        <v>139</v>
      </c>
      <c r="D34" s="6"/>
      <c r="E34" s="6"/>
      <c r="F34" s="6"/>
      <c r="G34" t="s">
        <v>35</v>
      </c>
      <c r="H34" t="s">
        <v>140</v>
      </c>
    </row>
    <row r="35" spans="1:8" x14ac:dyDescent="0.25">
      <c r="A35" t="s">
        <v>217</v>
      </c>
      <c r="B35" t="s">
        <v>14</v>
      </c>
      <c r="C35" t="s">
        <v>118</v>
      </c>
      <c r="D35" s="5">
        <v>14.7607817104898</v>
      </c>
      <c r="E35" s="5">
        <v>14.677266085929199</v>
      </c>
      <c r="F35" s="5">
        <v>14.458380146513701</v>
      </c>
      <c r="G35" t="s">
        <v>22</v>
      </c>
      <c r="H35" t="s">
        <v>218</v>
      </c>
    </row>
    <row r="36" spans="1:8" x14ac:dyDescent="0.25">
      <c r="A36" t="s">
        <v>219</v>
      </c>
      <c r="B36" t="s">
        <v>14</v>
      </c>
      <c r="C36" t="s">
        <v>118</v>
      </c>
      <c r="D36" s="5">
        <v>85.239218289510205</v>
      </c>
      <c r="E36" s="5">
        <v>85.322733914070795</v>
      </c>
      <c r="F36" s="5">
        <v>85.541619853486296</v>
      </c>
      <c r="G36" t="s">
        <v>22</v>
      </c>
      <c r="H36" t="s">
        <v>220</v>
      </c>
    </row>
    <row r="37" spans="1:8" x14ac:dyDescent="0.25">
      <c r="A37" t="s">
        <v>144</v>
      </c>
      <c r="B37" t="s">
        <v>14</v>
      </c>
      <c r="C37" t="s">
        <v>118</v>
      </c>
      <c r="D37" s="5">
        <v>7.9260927328061799</v>
      </c>
      <c r="E37" s="5">
        <v>-13.112460646550501</v>
      </c>
      <c r="F37" s="5">
        <v>23.063996714909401</v>
      </c>
      <c r="G37" t="s">
        <v>35</v>
      </c>
      <c r="H37" t="s">
        <v>145</v>
      </c>
    </row>
    <row r="38" spans="1:8" x14ac:dyDescent="0.25">
      <c r="A38" t="s">
        <v>146</v>
      </c>
      <c r="B38" t="s">
        <v>14</v>
      </c>
      <c r="C38" t="s">
        <v>118</v>
      </c>
      <c r="D38" s="5">
        <v>-3.2334823805750599</v>
      </c>
      <c r="E38" s="5">
        <v>-2.2618132288749502</v>
      </c>
      <c r="F38" s="5">
        <v>2.7849444163567099</v>
      </c>
      <c r="G38" t="s">
        <v>35</v>
      </c>
      <c r="H38" t="s">
        <v>147</v>
      </c>
    </row>
    <row r="39" spans="1:8" x14ac:dyDescent="0.25">
      <c r="A39" t="s">
        <v>148</v>
      </c>
      <c r="B39" t="s">
        <v>14</v>
      </c>
      <c r="C39" t="s">
        <v>118</v>
      </c>
      <c r="D39" s="5">
        <v>1.42891361905166</v>
      </c>
      <c r="E39" s="5">
        <v>-6.6774106888875204</v>
      </c>
      <c r="F39" s="5">
        <v>0.38636684765530499</v>
      </c>
      <c r="G39" t="s">
        <v>35</v>
      </c>
      <c r="H39" t="s">
        <v>149</v>
      </c>
    </row>
    <row r="40" spans="1:8" x14ac:dyDescent="0.25">
      <c r="A40" t="s">
        <v>150</v>
      </c>
      <c r="B40" t="s">
        <v>14</v>
      </c>
      <c r="C40" t="s">
        <v>118</v>
      </c>
      <c r="D40" s="5">
        <v>-6.2615090827226698</v>
      </c>
      <c r="E40" s="5">
        <v>-4.5230333380098298</v>
      </c>
      <c r="F40" s="5">
        <v>6.76682193808624</v>
      </c>
      <c r="G40" t="s">
        <v>35</v>
      </c>
      <c r="H40" t="s">
        <v>151</v>
      </c>
    </row>
    <row r="41" spans="1:8" x14ac:dyDescent="0.25">
      <c r="A41" t="s">
        <v>152</v>
      </c>
      <c r="B41" t="s">
        <v>14</v>
      </c>
      <c r="C41" t="s">
        <v>118</v>
      </c>
      <c r="D41" s="5">
        <v>34.3272134085503</v>
      </c>
      <c r="E41" s="5">
        <v>-11.6219316355748</v>
      </c>
      <c r="F41" s="5">
        <v>-20.704425667948001</v>
      </c>
      <c r="G41" t="s">
        <v>35</v>
      </c>
      <c r="H41" t="s">
        <v>153</v>
      </c>
    </row>
    <row r="42" spans="1:8" x14ac:dyDescent="0.25">
      <c r="A42" t="s">
        <v>164</v>
      </c>
      <c r="B42" t="s">
        <v>59</v>
      </c>
      <c r="C42" t="s">
        <v>102</v>
      </c>
      <c r="D42" s="6">
        <v>0.5</v>
      </c>
      <c r="E42" s="6">
        <v>0.47</v>
      </c>
      <c r="F42" s="6">
        <v>0.5</v>
      </c>
      <c r="G42" t="s">
        <v>165</v>
      </c>
      <c r="H42" t="s">
        <v>166</v>
      </c>
    </row>
    <row r="43" spans="1:8" x14ac:dyDescent="0.25">
      <c r="A43" t="s">
        <v>167</v>
      </c>
      <c r="B43" t="s">
        <v>101</v>
      </c>
      <c r="C43" t="s">
        <v>102</v>
      </c>
      <c r="D43" s="6">
        <v>8</v>
      </c>
      <c r="E43" s="6">
        <v>8</v>
      </c>
      <c r="F43" s="6">
        <v>8</v>
      </c>
      <c r="G43" t="s">
        <v>168</v>
      </c>
      <c r="H43" t="s">
        <v>59</v>
      </c>
    </row>
    <row r="44" spans="1:8" x14ac:dyDescent="0.25">
      <c r="A44" t="s">
        <v>169</v>
      </c>
      <c r="B44" t="s">
        <v>101</v>
      </c>
      <c r="C44" t="s">
        <v>102</v>
      </c>
      <c r="D44" s="6">
        <v>16</v>
      </c>
      <c r="E44" s="6">
        <v>17</v>
      </c>
      <c r="F44" s="6">
        <v>16</v>
      </c>
      <c r="G44" t="s">
        <v>168</v>
      </c>
      <c r="H44" t="s">
        <v>59</v>
      </c>
    </row>
    <row r="45" spans="1:8" x14ac:dyDescent="0.25">
      <c r="A45" t="s">
        <v>221</v>
      </c>
      <c r="B45" t="s">
        <v>14</v>
      </c>
      <c r="C45" t="s">
        <v>102</v>
      </c>
      <c r="D45" s="6">
        <v>50</v>
      </c>
      <c r="E45" s="6">
        <v>50</v>
      </c>
      <c r="F45" s="6">
        <v>50</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62.5</v>
      </c>
      <c r="E47" s="6">
        <v>62.5</v>
      </c>
      <c r="F47" s="6">
        <v>62.5</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3.7602820211515899</v>
      </c>
      <c r="E58" s="9">
        <v>5.1090342679127696</v>
      </c>
      <c r="F58" s="9">
        <v>4.8178613396004701</v>
      </c>
      <c r="G58" t="s">
        <v>59</v>
      </c>
      <c r="H58" t="s">
        <v>213</v>
      </c>
    </row>
    <row r="59" spans="1:8" x14ac:dyDescent="0.25">
      <c r="A59" t="s">
        <v>214</v>
      </c>
      <c r="B59" t="s">
        <v>14</v>
      </c>
      <c r="C59" t="s">
        <v>15</v>
      </c>
      <c r="D59" s="5">
        <v>1.35135135135135</v>
      </c>
      <c r="E59" s="5">
        <v>2.3052959501557599</v>
      </c>
      <c r="F59" s="5">
        <v>2.7027027027027</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1</v>
      </c>
      <c r="E65" s="6">
        <v>1</v>
      </c>
      <c r="F65" s="6">
        <v>1</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[1]肛肠科!$O$4</f>
        <v>痔（混合痔、外痔、内痔）</v>
      </c>
      <c r="E72" s="10" t="str">
        <f>[1]肛肠科!$I$4</f>
        <v>痔（混合痔、外痔、内痔）</v>
      </c>
      <c r="F72" s="10" t="str">
        <f>[1]肛肠科!$C$4</f>
        <v>痔（混合痔、外痔、内痔）</v>
      </c>
      <c r="G72" t="s">
        <v>59</v>
      </c>
      <c r="H72" t="s">
        <v>59</v>
      </c>
    </row>
    <row r="73" spans="1:8" x14ac:dyDescent="0.25">
      <c r="A73" t="s">
        <v>241</v>
      </c>
      <c r="B73" t="s">
        <v>59</v>
      </c>
      <c r="C73" t="s">
        <v>90</v>
      </c>
      <c r="D73" s="10" t="str">
        <f>[1]肛肠科!$N$4</f>
        <v>I84</v>
      </c>
      <c r="E73" s="10" t="str">
        <f>[1]肛肠科!$H$4</f>
        <v>I84</v>
      </c>
      <c r="F73" s="10" t="str">
        <f>[1]肛肠科!$B$4</f>
        <v>I84</v>
      </c>
      <c r="G73" t="s">
        <v>59</v>
      </c>
      <c r="H73" t="s">
        <v>59</v>
      </c>
    </row>
    <row r="74" spans="1:8" x14ac:dyDescent="0.25">
      <c r="A74" t="s">
        <v>242</v>
      </c>
      <c r="B74" t="s">
        <v>14</v>
      </c>
      <c r="C74" t="s">
        <v>90</v>
      </c>
      <c r="D74" s="10">
        <f>[1]肛肠科!$Q$4</f>
        <v>56.698002350176303</v>
      </c>
      <c r="E74" s="10">
        <f>[1]肛肠科!$K$4</f>
        <v>57.881619937694701</v>
      </c>
      <c r="F74" s="10">
        <f>[1]肛肠科!$E$4</f>
        <v>61.927144535840199</v>
      </c>
      <c r="G74" t="s">
        <v>59</v>
      </c>
      <c r="H74" t="s">
        <v>59</v>
      </c>
    </row>
    <row r="75" spans="1:8" x14ac:dyDescent="0.25">
      <c r="A75" t="s">
        <v>243</v>
      </c>
      <c r="B75" t="s">
        <v>59</v>
      </c>
      <c r="C75" t="s">
        <v>90</v>
      </c>
      <c r="D75" s="10" t="str">
        <f>[1]肛肠科!$O$5</f>
        <v>肛瘘</v>
      </c>
      <c r="E75" s="10" t="str">
        <f>[1]肛肠科!$I$5</f>
        <v>肛瘘</v>
      </c>
      <c r="F75" s="10" t="str">
        <f>[1]肛肠科!$C$5</f>
        <v>肛瘘</v>
      </c>
      <c r="G75" t="s">
        <v>59</v>
      </c>
      <c r="H75" t="s">
        <v>59</v>
      </c>
    </row>
    <row r="76" spans="1:8" x14ac:dyDescent="0.25">
      <c r="A76" t="s">
        <v>244</v>
      </c>
      <c r="B76" t="s">
        <v>59</v>
      </c>
      <c r="C76" t="s">
        <v>90</v>
      </c>
      <c r="D76" s="10" t="str">
        <f>[1]肛肠科!$N$5</f>
        <v>K60.3</v>
      </c>
      <c r="E76" s="10" t="str">
        <f>[1]肛肠科!$H$5</f>
        <v>K60.3</v>
      </c>
      <c r="F76" s="10" t="str">
        <f>[1]肛肠科!$B$5</f>
        <v>K60.3</v>
      </c>
      <c r="G76" t="s">
        <v>59</v>
      </c>
      <c r="H76" t="s">
        <v>59</v>
      </c>
    </row>
    <row r="77" spans="1:8" x14ac:dyDescent="0.25">
      <c r="A77" t="s">
        <v>245</v>
      </c>
      <c r="B77" t="s">
        <v>14</v>
      </c>
      <c r="C77" t="s">
        <v>90</v>
      </c>
      <c r="D77" s="10">
        <f>[1]肛肠科!$Q$5</f>
        <v>15.5699177438308</v>
      </c>
      <c r="E77" s="10">
        <f>[1]肛肠科!$K$5</f>
        <v>10.7165109034268</v>
      </c>
      <c r="F77" s="10">
        <f>[1]肛肠科!$E$5</f>
        <v>11.3983548766157</v>
      </c>
      <c r="G77" t="s">
        <v>59</v>
      </c>
      <c r="H77" t="s">
        <v>59</v>
      </c>
    </row>
    <row r="78" spans="1:8" x14ac:dyDescent="0.25">
      <c r="A78" t="s">
        <v>246</v>
      </c>
      <c r="B78" t="s">
        <v>59</v>
      </c>
      <c r="C78" t="s">
        <v>90</v>
      </c>
      <c r="D78" s="10" t="str">
        <f>[1]肛肠科!$O$6</f>
        <v>结肠良性肿瘤</v>
      </c>
      <c r="E78" s="10" t="str">
        <f>[1]肛肠科!$I$6</f>
        <v>肛门脓肿</v>
      </c>
      <c r="F78" s="10" t="str">
        <f>[1]肛肠科!$C$6</f>
        <v>结肠良性肿瘤</v>
      </c>
      <c r="G78" t="s">
        <v>59</v>
      </c>
      <c r="H78" t="s">
        <v>59</v>
      </c>
    </row>
    <row r="79" spans="1:8" x14ac:dyDescent="0.25">
      <c r="A79" t="s">
        <v>247</v>
      </c>
      <c r="B79" t="s">
        <v>59</v>
      </c>
      <c r="C79" t="s">
        <v>90</v>
      </c>
      <c r="D79" s="10" t="str">
        <f>[1]肛肠科!$N$6</f>
        <v>D12.-</v>
      </c>
      <c r="E79" s="10" t="str">
        <f>[1]肛肠科!$H$6</f>
        <v>K61.0</v>
      </c>
      <c r="F79" s="10" t="str">
        <f>[1]肛肠科!$B$6</f>
        <v>D12.-</v>
      </c>
      <c r="G79" t="s">
        <v>59</v>
      </c>
      <c r="H79" t="s">
        <v>59</v>
      </c>
    </row>
    <row r="80" spans="1:8" x14ac:dyDescent="0.25">
      <c r="A80" t="s">
        <v>248</v>
      </c>
      <c r="B80" t="s">
        <v>14</v>
      </c>
      <c r="C80" t="s">
        <v>90</v>
      </c>
      <c r="D80" s="10">
        <f>[1]肛肠科!$Q$6</f>
        <v>5.2878965922444197</v>
      </c>
      <c r="E80" s="10">
        <f>[1]肛肠科!$K$6</f>
        <v>7.1028037383177596</v>
      </c>
      <c r="F80" s="10">
        <f>[1]肛肠科!$E$6</f>
        <v>5.6991774383078697</v>
      </c>
      <c r="G80" t="s">
        <v>59</v>
      </c>
      <c r="H80" t="s">
        <v>59</v>
      </c>
    </row>
    <row r="81" spans="1:8" x14ac:dyDescent="0.25">
      <c r="A81" t="s">
        <v>249</v>
      </c>
      <c r="B81" t="s">
        <v>59</v>
      </c>
      <c r="C81" t="s">
        <v>90</v>
      </c>
      <c r="D81" s="10" t="str">
        <f>[1]肛肠科!$O$7</f>
        <v>肛门脓肿</v>
      </c>
      <c r="E81" s="10" t="str">
        <f>[1]肛肠科!$I$7</f>
        <v>结肠良性肿瘤</v>
      </c>
      <c r="F81" s="10" t="str">
        <f>[1]肛肠科!$C$7</f>
        <v>肛门脓肿</v>
      </c>
      <c r="G81" t="s">
        <v>59</v>
      </c>
      <c r="H81" t="s">
        <v>59</v>
      </c>
    </row>
    <row r="82" spans="1:8" x14ac:dyDescent="0.25">
      <c r="A82" t="s">
        <v>250</v>
      </c>
      <c r="B82" t="s">
        <v>59</v>
      </c>
      <c r="C82" t="s">
        <v>90</v>
      </c>
      <c r="D82" s="10" t="str">
        <f>[1]肛肠科!$N$7</f>
        <v>K61.0</v>
      </c>
      <c r="E82" s="10" t="str">
        <f>[1]肛肠科!$H$7</f>
        <v>D12.-</v>
      </c>
      <c r="F82" s="10" t="str">
        <f>[1]肛肠科!$B$7</f>
        <v>K61.0</v>
      </c>
      <c r="G82" t="s">
        <v>59</v>
      </c>
      <c r="H82" t="s">
        <v>59</v>
      </c>
    </row>
    <row r="83" spans="1:8" x14ac:dyDescent="0.25">
      <c r="A83" t="s">
        <v>251</v>
      </c>
      <c r="B83" t="s">
        <v>14</v>
      </c>
      <c r="C83" t="s">
        <v>90</v>
      </c>
      <c r="D83" s="10">
        <f>[1]肛肠科!$Q$7</f>
        <v>4.7591069330199796</v>
      </c>
      <c r="E83" s="10">
        <f>[1]肛肠科!$K$7</f>
        <v>5.9190031152648004</v>
      </c>
      <c r="F83" s="10">
        <f>[1]肛肠科!$E$7</f>
        <v>4.8178613396004701</v>
      </c>
      <c r="G83" t="s">
        <v>59</v>
      </c>
      <c r="H83" t="s">
        <v>59</v>
      </c>
    </row>
    <row r="84" spans="1:8" x14ac:dyDescent="0.25">
      <c r="A84" t="s">
        <v>252</v>
      </c>
      <c r="B84" t="s">
        <v>59</v>
      </c>
      <c r="C84" t="s">
        <v>90</v>
      </c>
      <c r="D84" s="10" t="str">
        <f>[1]肛肠科!$O$8</f>
        <v>肛裂</v>
      </c>
      <c r="E84" s="10" t="str">
        <f>[1]肛肠科!$I$8</f>
        <v>肛裂</v>
      </c>
      <c r="F84" s="10" t="str">
        <f>[1]肛肠科!$C$8</f>
        <v>肛裂</v>
      </c>
      <c r="G84" t="s">
        <v>59</v>
      </c>
      <c r="H84" t="s">
        <v>59</v>
      </c>
    </row>
    <row r="85" spans="1:8" x14ac:dyDescent="0.25">
      <c r="A85" t="s">
        <v>253</v>
      </c>
      <c r="B85" t="s">
        <v>59</v>
      </c>
      <c r="C85" t="s">
        <v>90</v>
      </c>
      <c r="D85" s="10" t="str">
        <f>[1]肛肠科!$N$8</f>
        <v>K60.1/K60.2</v>
      </c>
      <c r="E85" s="10" t="str">
        <f>[1]肛肠科!$H$8</f>
        <v>K60.1/K60.2</v>
      </c>
      <c r="F85" s="10" t="str">
        <f>[1]肛肠科!$B$8</f>
        <v>K60.1/K60.2</v>
      </c>
      <c r="G85" t="s">
        <v>59</v>
      </c>
      <c r="H85" t="s">
        <v>59</v>
      </c>
    </row>
    <row r="86" spans="1:8" x14ac:dyDescent="0.25">
      <c r="A86" t="s">
        <v>254</v>
      </c>
      <c r="B86" t="s">
        <v>14</v>
      </c>
      <c r="C86" t="s">
        <v>90</v>
      </c>
      <c r="D86" s="10">
        <f>[1]肛肠科!$Q$8</f>
        <v>4.5828437132784998</v>
      </c>
      <c r="E86" s="10">
        <f>[1]肛肠科!$K$8</f>
        <v>5.1090342679127696</v>
      </c>
      <c r="F86" s="10">
        <f>[1]肛肠科!$E$8</f>
        <v>4.7003525264394801</v>
      </c>
      <c r="G86" t="s">
        <v>59</v>
      </c>
      <c r="H86" t="s">
        <v>59</v>
      </c>
    </row>
    <row r="87" spans="1:8" x14ac:dyDescent="0.25">
      <c r="A87" t="s">
        <v>255</v>
      </c>
      <c r="B87" t="s">
        <v>59</v>
      </c>
      <c r="C87" t="s">
        <v>90</v>
      </c>
      <c r="D87" s="22" t="str">
        <f>[2]肛肠科!$O$4</f>
        <v>痔切除术</v>
      </c>
      <c r="E87" s="22" t="str">
        <f>[2]肛肠科!$I$4</f>
        <v>痔切除术</v>
      </c>
      <c r="F87" s="22" t="str">
        <f>[2]肛肠科!$C$4</f>
        <v>痔切除术</v>
      </c>
      <c r="G87" t="s">
        <v>59</v>
      </c>
      <c r="H87" t="s">
        <v>59</v>
      </c>
    </row>
    <row r="88" spans="1:8" x14ac:dyDescent="0.25">
      <c r="A88" t="s">
        <v>256</v>
      </c>
      <c r="B88" t="s">
        <v>59</v>
      </c>
      <c r="C88" t="s">
        <v>90</v>
      </c>
      <c r="D88" s="23">
        <f>[2]肛肠科!$N$4</f>
        <v>49.46</v>
      </c>
      <c r="E88" s="23">
        <f>[2]肛肠科!$H$4</f>
        <v>49.46</v>
      </c>
      <c r="F88" s="23">
        <f>[2]肛肠科!$B$4</f>
        <v>49.46</v>
      </c>
      <c r="G88" t="s">
        <v>59</v>
      </c>
      <c r="H88" t="s">
        <v>59</v>
      </c>
    </row>
    <row r="89" spans="1:8" x14ac:dyDescent="0.25">
      <c r="A89" t="s">
        <v>257</v>
      </c>
      <c r="B89" t="s">
        <v>14</v>
      </c>
      <c r="C89" t="s">
        <v>90</v>
      </c>
      <c r="D89" s="24">
        <f>[2]肛肠科!$Q$4</f>
        <v>63.913043478260903</v>
      </c>
      <c r="E89" s="24">
        <f>[2]肛肠科!$K$4</f>
        <v>61.568938193343897</v>
      </c>
      <c r="F89" s="24">
        <f>[2]肛肠科!$E$4</f>
        <v>67.597354886113195</v>
      </c>
      <c r="G89" t="s">
        <v>59</v>
      </c>
      <c r="H89" t="s">
        <v>59</v>
      </c>
    </row>
    <row r="90" spans="1:8" x14ac:dyDescent="0.25">
      <c r="A90" t="s">
        <v>258</v>
      </c>
      <c r="B90" t="s">
        <v>59</v>
      </c>
      <c r="C90" t="s">
        <v>90</v>
      </c>
      <c r="D90" s="25" t="str">
        <f>[2]肛肠科!$O$5</f>
        <v>肛门瘘管切开术</v>
      </c>
      <c r="E90" s="25" t="str">
        <f>[2]肛肠科!$I$5</f>
        <v>肛周脓肿切开引流术</v>
      </c>
      <c r="F90" s="25" t="str">
        <f>[2]肛肠科!$C$5</f>
        <v>肛瘘切除术</v>
      </c>
      <c r="G90" t="s">
        <v>59</v>
      </c>
      <c r="H90" t="s">
        <v>59</v>
      </c>
    </row>
    <row r="91" spans="1:8" x14ac:dyDescent="0.25">
      <c r="A91" t="s">
        <v>259</v>
      </c>
      <c r="B91" t="s">
        <v>59</v>
      </c>
      <c r="C91" t="s">
        <v>90</v>
      </c>
      <c r="D91" s="26">
        <f>[2]肛肠科!$N$5</f>
        <v>49.11</v>
      </c>
      <c r="E91" s="26">
        <f>[2]肛肠科!$H$5</f>
        <v>49.01</v>
      </c>
      <c r="F91" s="26">
        <f>[2]肛肠科!$B$5</f>
        <v>49.12</v>
      </c>
      <c r="G91" t="s">
        <v>59</v>
      </c>
      <c r="H91" t="s">
        <v>59</v>
      </c>
    </row>
    <row r="92" spans="1:8" x14ac:dyDescent="0.25">
      <c r="A92" t="s">
        <v>260</v>
      </c>
      <c r="B92" t="s">
        <v>14</v>
      </c>
      <c r="C92" t="s">
        <v>90</v>
      </c>
      <c r="D92" s="24">
        <f>[2]肛肠科!$Q$5</f>
        <v>12.7536231884058</v>
      </c>
      <c r="E92" s="24">
        <f>[2]肛肠科!$K$5</f>
        <v>9.0332805071315398</v>
      </c>
      <c r="F92" s="24">
        <f>[2]肛肠科!$E$5</f>
        <v>7.5679647318148398</v>
      </c>
      <c r="G92" t="s">
        <v>59</v>
      </c>
      <c r="H92" t="s">
        <v>59</v>
      </c>
    </row>
    <row r="93" spans="1:8" x14ac:dyDescent="0.25">
      <c r="A93" t="s">
        <v>261</v>
      </c>
      <c r="B93" t="s">
        <v>59</v>
      </c>
      <c r="C93" t="s">
        <v>90</v>
      </c>
      <c r="D93" s="27" t="str">
        <f>[2]肛肠科!$O$6</f>
        <v>肛门瘘管切除术</v>
      </c>
      <c r="E93" s="27" t="str">
        <f>[2]肛肠科!$I$6</f>
        <v>肛瘘切除术</v>
      </c>
      <c r="F93" s="27" t="str">
        <f>[2]肛肠科!$C$6</f>
        <v>肛周脓肿切开引流术</v>
      </c>
      <c r="G93" t="s">
        <v>59</v>
      </c>
      <c r="H93" t="s">
        <v>59</v>
      </c>
    </row>
    <row r="94" spans="1:8" x14ac:dyDescent="0.25">
      <c r="A94" t="s">
        <v>262</v>
      </c>
      <c r="B94" t="s">
        <v>59</v>
      </c>
      <c r="C94" t="s">
        <v>90</v>
      </c>
      <c r="D94" s="28">
        <f>[2]肛肠科!$N$6</f>
        <v>49.12</v>
      </c>
      <c r="E94" s="28">
        <f>[2]肛肠科!$H$6</f>
        <v>49.12</v>
      </c>
      <c r="F94" s="28">
        <f>[2]肛肠科!$B$6</f>
        <v>49.01</v>
      </c>
      <c r="G94" t="s">
        <v>59</v>
      </c>
      <c r="H94" t="s">
        <v>59</v>
      </c>
    </row>
    <row r="95" spans="1:8" x14ac:dyDescent="0.25">
      <c r="A95" t="s">
        <v>263</v>
      </c>
      <c r="B95" t="s">
        <v>14</v>
      </c>
      <c r="C95" t="s">
        <v>90</v>
      </c>
      <c r="D95" s="24">
        <f>[2]肛肠科!$Q$6</f>
        <v>5.9420289855072497</v>
      </c>
      <c r="E95" s="24">
        <f>[2]肛肠科!$K$6</f>
        <v>8.7955625990491306</v>
      </c>
      <c r="F95" s="24">
        <f>[2]肛肠科!$E$6</f>
        <v>5.8045554739162402</v>
      </c>
      <c r="G95" t="s">
        <v>59</v>
      </c>
      <c r="H95" t="s">
        <v>59</v>
      </c>
    </row>
    <row r="96" spans="1:8" x14ac:dyDescent="0.25">
      <c r="A96" t="s">
        <v>264</v>
      </c>
      <c r="B96" t="s">
        <v>59</v>
      </c>
      <c r="C96" t="s">
        <v>90</v>
      </c>
      <c r="D96" s="24" t="str">
        <f>[2]肛肠科!$O$7</f>
        <v>肛门括约肌切断术</v>
      </c>
      <c r="E96" s="24" t="str">
        <f>[2]肛肠科!$I$7</f>
        <v>肛瘘切开术</v>
      </c>
      <c r="F96" s="24" t="str">
        <f>[2]肛肠科!$C$7</f>
        <v>肛瘘切开术</v>
      </c>
      <c r="G96" t="s">
        <v>59</v>
      </c>
      <c r="H96" t="s">
        <v>59</v>
      </c>
    </row>
    <row r="97" spans="1:8" x14ac:dyDescent="0.25">
      <c r="A97" t="s">
        <v>265</v>
      </c>
      <c r="B97" t="s">
        <v>59</v>
      </c>
      <c r="C97" t="s">
        <v>90</v>
      </c>
      <c r="D97" s="25">
        <f>[2]肛肠科!$N$7</f>
        <v>49.59</v>
      </c>
      <c r="E97" s="25">
        <f>[2]肛肠科!$H$7</f>
        <v>49.11</v>
      </c>
      <c r="F97" s="25">
        <f>[2]肛肠科!$B$7</f>
        <v>49.11</v>
      </c>
      <c r="G97" t="s">
        <v>59</v>
      </c>
      <c r="H97" t="s">
        <v>59</v>
      </c>
    </row>
    <row r="98" spans="1:8" x14ac:dyDescent="0.25">
      <c r="A98" t="s">
        <v>266</v>
      </c>
      <c r="B98" t="s">
        <v>14</v>
      </c>
      <c r="C98" t="s">
        <v>90</v>
      </c>
      <c r="D98" s="26">
        <f>[2]肛肠科!$Q$7</f>
        <v>5.2173913043478297</v>
      </c>
      <c r="E98" s="26">
        <f>[2]肛肠科!$K$7</f>
        <v>4.0412044374009497</v>
      </c>
      <c r="F98" s="26">
        <f>[2]肛肠科!$E$7</f>
        <v>5.65760470242469</v>
      </c>
      <c r="G98" t="s">
        <v>59</v>
      </c>
      <c r="H98" t="s">
        <v>59</v>
      </c>
    </row>
    <row r="99" spans="1:8" x14ac:dyDescent="0.25">
      <c r="A99" t="s">
        <v>267</v>
      </c>
      <c r="B99" t="s">
        <v>59</v>
      </c>
      <c r="C99" t="s">
        <v>90</v>
      </c>
      <c r="D99" s="24" t="str">
        <f>[2]肛肠科!$O$8</f>
        <v>肛周脓肿切开引流术</v>
      </c>
      <c r="E99" s="24" t="str">
        <f>[2]肛肠科!$I$8</f>
        <v>痔结扎术</v>
      </c>
      <c r="F99" s="24" t="str">
        <f>[2]肛肠科!$C$8</f>
        <v>肛门括约肌切断术</v>
      </c>
      <c r="G99" t="s">
        <v>59</v>
      </c>
      <c r="H99" t="s">
        <v>59</v>
      </c>
    </row>
    <row r="100" spans="1:8" x14ac:dyDescent="0.25">
      <c r="A100" t="s">
        <v>268</v>
      </c>
      <c r="B100" t="s">
        <v>59</v>
      </c>
      <c r="C100" t="s">
        <v>90</v>
      </c>
      <c r="D100" s="10">
        <f>[2]肛肠科!$N$8</f>
        <v>49.01</v>
      </c>
      <c r="E100" s="10">
        <f>[2]肛肠科!$H$8</f>
        <v>49.45</v>
      </c>
      <c r="F100" s="10">
        <f>[2]肛肠科!$B$8</f>
        <v>49.59</v>
      </c>
      <c r="G100" t="s">
        <v>59</v>
      </c>
      <c r="H100" t="s">
        <v>59</v>
      </c>
    </row>
    <row r="101" spans="1:8" x14ac:dyDescent="0.25">
      <c r="A101" t="s">
        <v>269</v>
      </c>
      <c r="B101" t="s">
        <v>14</v>
      </c>
      <c r="C101" t="s">
        <v>90</v>
      </c>
      <c r="D101" s="10">
        <f>[2]肛肠科!$Q$8</f>
        <v>4.4202898550724603</v>
      </c>
      <c r="E101" s="10">
        <f>[2]肛肠科!$K$8</f>
        <v>4.0412044374009497</v>
      </c>
      <c r="F101" s="10">
        <f>[2]肛肠科!$E$8</f>
        <v>3.7472446730345301</v>
      </c>
      <c r="G101" t="s">
        <v>59</v>
      </c>
      <c r="H101" t="s">
        <v>59</v>
      </c>
    </row>
  </sheetData>
  <phoneticPr fontId="10" type="noConversion"/>
  <conditionalFormatting sqref="D88">
    <cfRule type="duplicateValues" dxfId="35" priority="12"/>
  </conditionalFormatting>
  <conditionalFormatting sqref="E88">
    <cfRule type="duplicateValues" dxfId="34" priority="4"/>
  </conditionalFormatting>
  <conditionalFormatting sqref="F88">
    <cfRule type="duplicateValues" dxfId="33" priority="8"/>
  </conditionalFormatting>
  <conditionalFormatting sqref="D91">
    <cfRule type="duplicateValues" dxfId="32" priority="11"/>
  </conditionalFormatting>
  <conditionalFormatting sqref="E91">
    <cfRule type="duplicateValues" dxfId="31" priority="3"/>
  </conditionalFormatting>
  <conditionalFormatting sqref="F91">
    <cfRule type="duplicateValues" dxfId="30" priority="7"/>
  </conditionalFormatting>
  <conditionalFormatting sqref="D94">
    <cfRule type="duplicateValues" dxfId="29" priority="9"/>
  </conditionalFormatting>
  <conditionalFormatting sqref="E94">
    <cfRule type="duplicateValues" dxfId="28" priority="1"/>
  </conditionalFormatting>
  <conditionalFormatting sqref="F94">
    <cfRule type="duplicateValues" dxfId="27" priority="5"/>
  </conditionalFormatting>
  <conditionalFormatting sqref="D98">
    <cfRule type="duplicateValues" dxfId="26" priority="10"/>
  </conditionalFormatting>
  <conditionalFormatting sqref="E98">
    <cfRule type="duplicateValues" dxfId="25" priority="2"/>
  </conditionalFormatting>
  <conditionalFormatting sqref="F98">
    <cfRule type="duplicateValues" dxfId="24" priority="6"/>
  </conditionalFormatting>
  <pageMargins left="0.69930555555555596" right="0.69930555555555596" top="0.75" bottom="0.75" header="0.3" footer="0.3"/>
  <ignoredErrors>
    <ignoredError sqref="A2:B31 G21:H31 G2:H5 G6:H14 G15:H15 G16:H17 G18:H20 G34:H57 G58:H59 G60:H71 G72:H86 G87:H101 A34:B101 A1:H1" numberStoredAsText="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76.454500248632499</v>
      </c>
      <c r="E2" s="5">
        <v>76.985698569857007</v>
      </c>
      <c r="F2" s="5">
        <v>77.6474833122858</v>
      </c>
      <c r="G2" t="s">
        <v>16</v>
      </c>
      <c r="H2" t="s">
        <v>17</v>
      </c>
    </row>
    <row r="3" spans="1:8" x14ac:dyDescent="0.25">
      <c r="A3" t="s">
        <v>18</v>
      </c>
      <c r="B3" t="s">
        <v>14</v>
      </c>
      <c r="C3" t="s">
        <v>15</v>
      </c>
      <c r="D3" s="5">
        <v>3.2520325203252001E-2</v>
      </c>
      <c r="E3" s="5">
        <v>5.7159188339525602E-2</v>
      </c>
      <c r="F3" s="5">
        <v>2.3234200743494401E-2</v>
      </c>
      <c r="G3" t="s">
        <v>19</v>
      </c>
      <c r="H3" t="s">
        <v>20</v>
      </c>
    </row>
    <row r="4" spans="1:8" x14ac:dyDescent="0.25">
      <c r="A4" t="s">
        <v>21</v>
      </c>
      <c r="B4" t="s">
        <v>14</v>
      </c>
      <c r="C4" t="s">
        <v>15</v>
      </c>
      <c r="D4" s="5">
        <v>0.13008130081300801</v>
      </c>
      <c r="E4" s="5">
        <v>8.5738782509288403E-2</v>
      </c>
      <c r="F4" s="5">
        <v>0.16263940520446099</v>
      </c>
      <c r="G4" t="s">
        <v>22</v>
      </c>
      <c r="H4" t="s">
        <v>23</v>
      </c>
    </row>
    <row r="5" spans="1:8" x14ac:dyDescent="0.25">
      <c r="A5" t="s">
        <v>24</v>
      </c>
      <c r="B5" t="s">
        <v>14</v>
      </c>
      <c r="C5" t="s">
        <v>15</v>
      </c>
      <c r="D5" s="6">
        <v>78.319999999999993</v>
      </c>
      <c r="E5" s="6">
        <v>64.44</v>
      </c>
      <c r="F5" s="6">
        <v>60.36</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0.42</v>
      </c>
      <c r="E10" s="6">
        <v>0.15</v>
      </c>
      <c r="F10" s="6">
        <v>0.25</v>
      </c>
      <c r="G10" t="s">
        <v>58</v>
      </c>
      <c r="H10" t="s">
        <v>59</v>
      </c>
    </row>
    <row r="11" spans="1:8" x14ac:dyDescent="0.25">
      <c r="A11" t="s">
        <v>63</v>
      </c>
      <c r="B11" t="s">
        <v>64</v>
      </c>
      <c r="C11" t="s">
        <v>61</v>
      </c>
      <c r="D11" s="5">
        <v>37.786071341388599</v>
      </c>
      <c r="E11" s="5">
        <v>42.8598687681366</v>
      </c>
      <c r="F11" s="5">
        <v>39.546493290436203</v>
      </c>
      <c r="G11" t="s">
        <v>35</v>
      </c>
      <c r="H11" t="s">
        <v>65</v>
      </c>
    </row>
    <row r="12" spans="1:8" x14ac:dyDescent="0.25">
      <c r="A12" t="s">
        <v>66</v>
      </c>
      <c r="B12" t="s">
        <v>14</v>
      </c>
      <c r="C12" t="s">
        <v>61</v>
      </c>
      <c r="D12" s="6">
        <v>35.76</v>
      </c>
      <c r="E12" s="6">
        <v>22.97</v>
      </c>
      <c r="F12" s="6">
        <v>35.36</v>
      </c>
      <c r="G12" t="s">
        <v>39</v>
      </c>
      <c r="H12" t="s">
        <v>67</v>
      </c>
    </row>
    <row r="13" spans="1:8" x14ac:dyDescent="0.25">
      <c r="A13" t="s">
        <v>68</v>
      </c>
      <c r="B13" t="s">
        <v>14</v>
      </c>
      <c r="C13" t="s">
        <v>61</v>
      </c>
      <c r="D13" s="6">
        <v>97.14</v>
      </c>
      <c r="E13" s="6">
        <v>96.75</v>
      </c>
      <c r="F13" s="6">
        <v>94.05</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4.25</v>
      </c>
      <c r="E15" s="6">
        <v>3.99</v>
      </c>
      <c r="F15" s="6">
        <v>4.0999999999999996</v>
      </c>
      <c r="G15" t="s">
        <v>93</v>
      </c>
      <c r="H15" t="s">
        <v>94</v>
      </c>
    </row>
    <row r="16" spans="1:8" x14ac:dyDescent="0.25">
      <c r="A16" t="s">
        <v>95</v>
      </c>
      <c r="B16" t="s">
        <v>59</v>
      </c>
      <c r="C16" t="s">
        <v>34</v>
      </c>
      <c r="D16" s="6">
        <v>0.72</v>
      </c>
      <c r="E16" s="6">
        <v>0.7</v>
      </c>
      <c r="F16" s="6">
        <v>0.74</v>
      </c>
      <c r="G16" t="s">
        <v>96</v>
      </c>
      <c r="H16" t="s">
        <v>59</v>
      </c>
    </row>
    <row r="17" spans="1:8" x14ac:dyDescent="0.25">
      <c r="A17" t="s">
        <v>97</v>
      </c>
      <c r="B17" t="s">
        <v>98</v>
      </c>
      <c r="C17" t="s">
        <v>34</v>
      </c>
      <c r="D17" s="6">
        <v>33</v>
      </c>
      <c r="E17" s="6">
        <v>29</v>
      </c>
      <c r="F17" s="6">
        <v>29</v>
      </c>
      <c r="G17" t="s">
        <v>99</v>
      </c>
      <c r="H17" t="s">
        <v>59</v>
      </c>
    </row>
    <row r="18" spans="1:8" x14ac:dyDescent="0.25">
      <c r="A18" t="s">
        <v>104</v>
      </c>
      <c r="B18" t="s">
        <v>105</v>
      </c>
      <c r="C18" t="s">
        <v>15</v>
      </c>
      <c r="D18" s="6">
        <v>50</v>
      </c>
      <c r="E18" s="6">
        <v>50</v>
      </c>
      <c r="F18" s="6">
        <v>50</v>
      </c>
      <c r="G18" t="s">
        <v>58</v>
      </c>
      <c r="H18" t="s">
        <v>59</v>
      </c>
    </row>
    <row r="19" spans="1:8" x14ac:dyDescent="0.25">
      <c r="A19" t="s">
        <v>106</v>
      </c>
      <c r="B19" t="s">
        <v>105</v>
      </c>
      <c r="C19" t="s">
        <v>15</v>
      </c>
      <c r="D19" s="6">
        <v>59</v>
      </c>
      <c r="E19" s="6">
        <v>50</v>
      </c>
      <c r="F19" s="6">
        <v>65</v>
      </c>
      <c r="G19" t="s">
        <v>58</v>
      </c>
      <c r="H19" t="s">
        <v>59</v>
      </c>
    </row>
    <row r="20" spans="1:8" x14ac:dyDescent="0.25">
      <c r="A20" t="s">
        <v>107</v>
      </c>
      <c r="B20" t="s">
        <v>14</v>
      </c>
      <c r="C20" t="s">
        <v>15</v>
      </c>
      <c r="D20" s="6">
        <v>83.67</v>
      </c>
      <c r="E20" s="6">
        <v>84.1</v>
      </c>
      <c r="F20" s="6">
        <v>96.11</v>
      </c>
      <c r="G20" t="s">
        <v>58</v>
      </c>
      <c r="H20" t="s">
        <v>108</v>
      </c>
    </row>
    <row r="21" spans="1:8" x14ac:dyDescent="0.25">
      <c r="A21" t="s">
        <v>112</v>
      </c>
      <c r="B21" t="s">
        <v>59</v>
      </c>
      <c r="C21" t="s">
        <v>102</v>
      </c>
      <c r="D21" s="5">
        <f t="shared" ref="D21:F21" si="0">D43/D19</f>
        <v>0.40677966101694918</v>
      </c>
      <c r="E21" s="5">
        <f t="shared" si="0"/>
        <v>0.48</v>
      </c>
      <c r="F21" s="5">
        <f t="shared" si="0"/>
        <v>0.38461538461538464</v>
      </c>
      <c r="G21" t="s">
        <v>110</v>
      </c>
      <c r="H21" t="s">
        <v>113</v>
      </c>
    </row>
    <row r="22" spans="1:8" x14ac:dyDescent="0.25">
      <c r="A22" t="s">
        <v>114</v>
      </c>
      <c r="B22" t="s">
        <v>59</v>
      </c>
      <c r="C22" t="s">
        <v>102</v>
      </c>
      <c r="D22" s="5">
        <f t="shared" ref="D22:F22" si="1">D44/D19</f>
        <v>1.0169491525423728</v>
      </c>
      <c r="E22" s="5">
        <f t="shared" si="1"/>
        <v>1.22</v>
      </c>
      <c r="F22" s="5">
        <f t="shared" si="1"/>
        <v>0.96923076923076923</v>
      </c>
      <c r="G22" t="s">
        <v>110</v>
      </c>
      <c r="H22" t="s">
        <v>115</v>
      </c>
    </row>
    <row r="23" spans="1:8" x14ac:dyDescent="0.25">
      <c r="A23" t="s">
        <v>116</v>
      </c>
      <c r="B23" t="s">
        <v>117</v>
      </c>
      <c r="C23" t="s">
        <v>118</v>
      </c>
      <c r="D23" s="5">
        <v>15.099326558823501</v>
      </c>
      <c r="E23" s="5">
        <v>18.2346417473684</v>
      </c>
      <c r="F23" s="5">
        <v>20.512655571428599</v>
      </c>
      <c r="G23" t="s">
        <v>119</v>
      </c>
      <c r="H23" t="s">
        <v>59</v>
      </c>
    </row>
    <row r="24" spans="1:8" x14ac:dyDescent="0.25">
      <c r="A24" t="s">
        <v>120</v>
      </c>
      <c r="B24" t="s">
        <v>117</v>
      </c>
      <c r="C24" t="s">
        <v>118</v>
      </c>
      <c r="D24" s="5">
        <v>34.878015754902002</v>
      </c>
      <c r="E24" s="5">
        <v>40.911868884210499</v>
      </c>
      <c r="F24" s="5">
        <v>46.352915447618997</v>
      </c>
      <c r="G24" t="s">
        <v>121</v>
      </c>
      <c r="H24" t="s">
        <v>59</v>
      </c>
    </row>
    <row r="25" spans="1:8" x14ac:dyDescent="0.25">
      <c r="A25" t="s">
        <v>122</v>
      </c>
      <c r="B25" t="s">
        <v>117</v>
      </c>
      <c r="C25" t="s">
        <v>118</v>
      </c>
      <c r="D25" s="5">
        <v>27.482714293361902</v>
      </c>
      <c r="E25" s="5">
        <v>29.495844815256302</v>
      </c>
      <c r="F25" s="5">
        <v>33.135828230769199</v>
      </c>
      <c r="G25" t="s">
        <v>123</v>
      </c>
      <c r="H25" t="s">
        <v>59</v>
      </c>
    </row>
    <row r="26" spans="1:8" x14ac:dyDescent="0.25">
      <c r="A26" t="s">
        <v>124</v>
      </c>
      <c r="B26" t="s">
        <v>117</v>
      </c>
      <c r="C26" t="s">
        <v>118</v>
      </c>
      <c r="D26" s="5">
        <v>63.482469789436102</v>
      </c>
      <c r="E26" s="5">
        <v>66.177891094840803</v>
      </c>
      <c r="F26" s="5">
        <v>74.877786492307706</v>
      </c>
      <c r="G26" t="s">
        <v>125</v>
      </c>
      <c r="H26" t="s">
        <v>59</v>
      </c>
    </row>
    <row r="27" spans="1:8" x14ac:dyDescent="0.25">
      <c r="A27" t="s">
        <v>126</v>
      </c>
      <c r="B27" t="s">
        <v>127</v>
      </c>
      <c r="C27" t="s">
        <v>118</v>
      </c>
      <c r="D27" s="5">
        <v>1.9537671232876701</v>
      </c>
      <c r="E27" s="5">
        <v>2.0635844748858401</v>
      </c>
      <c r="F27" s="5">
        <v>2.4989589041095899</v>
      </c>
      <c r="G27" t="s">
        <v>39</v>
      </c>
      <c r="H27" t="s">
        <v>128</v>
      </c>
    </row>
    <row r="28" spans="1:8" x14ac:dyDescent="0.25">
      <c r="A28" t="s">
        <v>129</v>
      </c>
      <c r="B28" t="s">
        <v>14</v>
      </c>
      <c r="C28" t="s">
        <v>118</v>
      </c>
      <c r="D28" s="5">
        <v>38.3218656144332</v>
      </c>
      <c r="E28" s="5">
        <v>39.274443943132702</v>
      </c>
      <c r="F28" s="5">
        <v>38.818887571625297</v>
      </c>
      <c r="G28" t="s">
        <v>130</v>
      </c>
      <c r="H28" t="s">
        <v>131</v>
      </c>
    </row>
    <row r="29" spans="1:8" x14ac:dyDescent="0.25">
      <c r="A29" t="s">
        <v>132</v>
      </c>
      <c r="B29" t="s">
        <v>117</v>
      </c>
      <c r="C29" t="s">
        <v>118</v>
      </c>
      <c r="D29" s="5">
        <v>4018.936146</v>
      </c>
      <c r="E29" s="5">
        <v>4410.7332710000001</v>
      </c>
      <c r="F29" s="5">
        <v>5548.4043199999996</v>
      </c>
      <c r="G29" t="s">
        <v>59</v>
      </c>
      <c r="H29" t="s">
        <v>133</v>
      </c>
    </row>
    <row r="30" spans="1:8" x14ac:dyDescent="0.25">
      <c r="A30" t="s">
        <v>134</v>
      </c>
      <c r="B30" t="s">
        <v>117</v>
      </c>
      <c r="C30" t="s">
        <v>118</v>
      </c>
      <c r="D30" s="5">
        <v>1540.1313090000001</v>
      </c>
      <c r="E30" s="5">
        <v>1732.290966</v>
      </c>
      <c r="F30" s="5">
        <v>2153.8288349999998</v>
      </c>
      <c r="G30" t="s">
        <v>59</v>
      </c>
      <c r="H30" t="s">
        <v>59</v>
      </c>
    </row>
    <row r="31" spans="1:8" x14ac:dyDescent="0.25">
      <c r="A31" t="s">
        <v>135</v>
      </c>
      <c r="B31" t="s">
        <v>117</v>
      </c>
      <c r="C31" t="s">
        <v>118</v>
      </c>
      <c r="D31" s="5">
        <v>3557.5576070000002</v>
      </c>
      <c r="E31" s="5">
        <v>3886.6275439999999</v>
      </c>
      <c r="F31" s="5">
        <v>4867.056122</v>
      </c>
      <c r="G31" t="s">
        <v>59</v>
      </c>
      <c r="H31" t="s">
        <v>136</v>
      </c>
    </row>
    <row r="32" spans="1:8" x14ac:dyDescent="0.25">
      <c r="A32" t="s">
        <v>216</v>
      </c>
      <c r="B32" t="s">
        <v>117</v>
      </c>
      <c r="D32" s="17">
        <v>2946.44</v>
      </c>
      <c r="E32" s="17">
        <v>3071.32</v>
      </c>
      <c r="F32" s="17">
        <v>3172.72</v>
      </c>
    </row>
    <row r="33" spans="1:8" x14ac:dyDescent="0.25">
      <c r="A33" t="s">
        <v>143</v>
      </c>
      <c r="B33" t="s">
        <v>14</v>
      </c>
      <c r="D33" s="15">
        <v>12.6</v>
      </c>
      <c r="E33" s="15">
        <v>-2.99</v>
      </c>
      <c r="F33" s="15">
        <v>-11.03</v>
      </c>
    </row>
    <row r="34" spans="1:8" x14ac:dyDescent="0.25">
      <c r="A34" t="s">
        <v>137</v>
      </c>
      <c r="B34" t="s">
        <v>138</v>
      </c>
      <c r="C34" t="s">
        <v>139</v>
      </c>
      <c r="D34" s="6"/>
      <c r="E34" s="6"/>
      <c r="F34" s="6"/>
      <c r="G34" t="s">
        <v>35</v>
      </c>
      <c r="H34" t="s">
        <v>140</v>
      </c>
    </row>
    <row r="35" spans="1:8" x14ac:dyDescent="0.25">
      <c r="A35" t="s">
        <v>217</v>
      </c>
      <c r="B35" t="s">
        <v>14</v>
      </c>
      <c r="C35" t="s">
        <v>118</v>
      </c>
      <c r="D35" s="5">
        <v>42.515269512321296</v>
      </c>
      <c r="E35" s="5">
        <v>40.0740380430953</v>
      </c>
      <c r="F35" s="5">
        <v>41.187455423219802</v>
      </c>
      <c r="G35" t="s">
        <v>22</v>
      </c>
      <c r="H35" t="s">
        <v>218</v>
      </c>
    </row>
    <row r="36" spans="1:8" x14ac:dyDescent="0.25">
      <c r="A36" t="s">
        <v>219</v>
      </c>
      <c r="B36" t="s">
        <v>14</v>
      </c>
      <c r="C36" t="s">
        <v>118</v>
      </c>
      <c r="D36" s="5">
        <v>57.484730487678704</v>
      </c>
      <c r="E36" s="5">
        <v>59.9259619569047</v>
      </c>
      <c r="F36" s="5">
        <v>58.812544576780198</v>
      </c>
      <c r="G36" t="s">
        <v>22</v>
      </c>
      <c r="H36" t="s">
        <v>220</v>
      </c>
    </row>
    <row r="37" spans="1:8" x14ac:dyDescent="0.25">
      <c r="A37" t="s">
        <v>144</v>
      </c>
      <c r="B37" t="s">
        <v>14</v>
      </c>
      <c r="C37" t="s">
        <v>118</v>
      </c>
      <c r="D37" s="5">
        <v>-8.8828115627851592</v>
      </c>
      <c r="E37" s="5">
        <v>-20.504472698557802</v>
      </c>
      <c r="F37" s="5">
        <v>11.8451332774278</v>
      </c>
      <c r="G37" t="s">
        <v>35</v>
      </c>
      <c r="H37" t="s">
        <v>145</v>
      </c>
    </row>
    <row r="38" spans="1:8" x14ac:dyDescent="0.25">
      <c r="A38" t="s">
        <v>146</v>
      </c>
      <c r="B38" t="s">
        <v>14</v>
      </c>
      <c r="C38" t="s">
        <v>118</v>
      </c>
      <c r="D38" s="5">
        <v>-2.0003816994480701</v>
      </c>
      <c r="E38" s="5">
        <v>0.78927319622697401</v>
      </c>
      <c r="F38" s="5">
        <v>19.279689157013699</v>
      </c>
      <c r="G38" t="s">
        <v>35</v>
      </c>
      <c r="H38" t="s">
        <v>147</v>
      </c>
    </row>
    <row r="39" spans="1:8" x14ac:dyDescent="0.25">
      <c r="A39" t="s">
        <v>148</v>
      </c>
      <c r="B39" t="s">
        <v>14</v>
      </c>
      <c r="C39" t="s">
        <v>118</v>
      </c>
      <c r="D39" s="5">
        <v>-1.66609531304084</v>
      </c>
      <c r="E39" s="5">
        <v>-0.56428362914027796</v>
      </c>
      <c r="F39" s="5">
        <v>13.1696083303894</v>
      </c>
      <c r="G39" t="s">
        <v>35</v>
      </c>
      <c r="H39" t="s">
        <v>149</v>
      </c>
    </row>
    <row r="40" spans="1:8" x14ac:dyDescent="0.25">
      <c r="A40" t="s">
        <v>150</v>
      </c>
      <c r="B40" t="s">
        <v>14</v>
      </c>
      <c r="C40" t="s">
        <v>118</v>
      </c>
      <c r="D40" s="5">
        <v>-1.5373835392563</v>
      </c>
      <c r="E40" s="5">
        <v>19.424985546827699</v>
      </c>
      <c r="F40" s="5">
        <v>19.072542873422702</v>
      </c>
      <c r="G40" t="s">
        <v>35</v>
      </c>
      <c r="H40" t="s">
        <v>151</v>
      </c>
    </row>
    <row r="41" spans="1:8" x14ac:dyDescent="0.25">
      <c r="A41" t="s">
        <v>152</v>
      </c>
      <c r="B41" t="s">
        <v>14</v>
      </c>
      <c r="C41" t="s">
        <v>118</v>
      </c>
      <c r="D41" s="5">
        <v>2.2897739379836901</v>
      </c>
      <c r="E41" s="5">
        <v>-8.9971147365061004</v>
      </c>
      <c r="F41" s="5">
        <v>21.159936512388899</v>
      </c>
      <c r="G41" t="s">
        <v>35</v>
      </c>
      <c r="H41" t="s">
        <v>153</v>
      </c>
    </row>
    <row r="42" spans="1:8" x14ac:dyDescent="0.25">
      <c r="A42" t="s">
        <v>164</v>
      </c>
      <c r="B42" t="s">
        <v>59</v>
      </c>
      <c r="C42" t="s">
        <v>102</v>
      </c>
      <c r="D42" s="6">
        <v>0.4</v>
      </c>
      <c r="E42" s="6">
        <v>0.39</v>
      </c>
      <c r="F42" s="6">
        <v>0.4</v>
      </c>
      <c r="G42" t="s">
        <v>165</v>
      </c>
      <c r="H42" t="s">
        <v>166</v>
      </c>
    </row>
    <row r="43" spans="1:8" x14ac:dyDescent="0.25">
      <c r="A43" t="s">
        <v>167</v>
      </c>
      <c r="B43" t="s">
        <v>101</v>
      </c>
      <c r="C43" t="s">
        <v>102</v>
      </c>
      <c r="D43" s="6">
        <v>24</v>
      </c>
      <c r="E43" s="6">
        <v>24</v>
      </c>
      <c r="F43" s="6">
        <v>25</v>
      </c>
      <c r="G43" t="s">
        <v>168</v>
      </c>
      <c r="H43" t="s">
        <v>59</v>
      </c>
    </row>
    <row r="44" spans="1:8" x14ac:dyDescent="0.25">
      <c r="A44" t="s">
        <v>169</v>
      </c>
      <c r="B44" t="s">
        <v>101</v>
      </c>
      <c r="C44" t="s">
        <v>102</v>
      </c>
      <c r="D44" s="6">
        <v>60</v>
      </c>
      <c r="E44" s="6">
        <v>61</v>
      </c>
      <c r="F44" s="6">
        <v>63</v>
      </c>
      <c r="G44" t="s">
        <v>168</v>
      </c>
      <c r="H44" t="s">
        <v>59</v>
      </c>
    </row>
    <row r="45" spans="1:8" x14ac:dyDescent="0.25">
      <c r="A45" t="s">
        <v>221</v>
      </c>
      <c r="B45" t="s">
        <v>14</v>
      </c>
      <c r="C45" t="s">
        <v>102</v>
      </c>
      <c r="D45" s="6">
        <v>29.17</v>
      </c>
      <c r="E45" s="6">
        <v>29.17</v>
      </c>
      <c r="F45" s="6">
        <v>32</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50</v>
      </c>
      <c r="E47" s="6">
        <v>50</v>
      </c>
      <c r="F47" s="6">
        <v>48</v>
      </c>
      <c r="G47" t="s">
        <v>59</v>
      </c>
      <c r="H47" t="s">
        <v>226</v>
      </c>
    </row>
    <row r="48" spans="1:8" x14ac:dyDescent="0.25">
      <c r="A48" t="s">
        <v>188</v>
      </c>
      <c r="B48" t="s">
        <v>59</v>
      </c>
      <c r="C48" t="s">
        <v>176</v>
      </c>
      <c r="D48" s="6">
        <v>1.2E-2</v>
      </c>
      <c r="E48" s="6">
        <v>3.5000000000000003E-2</v>
      </c>
      <c r="F48" s="6">
        <v>0</v>
      </c>
      <c r="G48" t="s">
        <v>186</v>
      </c>
      <c r="H48" t="s">
        <v>189</v>
      </c>
    </row>
    <row r="49" spans="1:8" x14ac:dyDescent="0.25">
      <c r="A49" t="s">
        <v>190</v>
      </c>
      <c r="B49" t="s">
        <v>59</v>
      </c>
      <c r="C49" t="s">
        <v>176</v>
      </c>
      <c r="D49" s="6">
        <v>0</v>
      </c>
      <c r="E49" s="6">
        <v>0</v>
      </c>
      <c r="F49" s="6">
        <v>1.0999999999999999E-2</v>
      </c>
      <c r="G49" t="s">
        <v>191</v>
      </c>
      <c r="H49" t="s">
        <v>192</v>
      </c>
    </row>
    <row r="50" spans="1:8" x14ac:dyDescent="0.25">
      <c r="A50" t="s">
        <v>193</v>
      </c>
      <c r="B50" t="s">
        <v>59</v>
      </c>
      <c r="C50" t="s">
        <v>176</v>
      </c>
      <c r="D50" s="11">
        <v>1.1905000000000001E-2</v>
      </c>
      <c r="E50" s="11">
        <v>1.1764999999999999E-2</v>
      </c>
      <c r="F50" s="11">
        <v>1.1364000000000001E-2</v>
      </c>
      <c r="G50" t="s">
        <v>191</v>
      </c>
      <c r="H50" t="s">
        <v>194</v>
      </c>
    </row>
    <row r="51" spans="1:8" x14ac:dyDescent="0.25">
      <c r="A51" t="s">
        <v>195</v>
      </c>
      <c r="B51" t="s">
        <v>196</v>
      </c>
      <c r="C51" t="s">
        <v>176</v>
      </c>
      <c r="D51" s="6">
        <v>0</v>
      </c>
      <c r="E51" s="6">
        <v>11764.705882352901</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4.2000000000000003E-2</v>
      </c>
      <c r="E54" s="6">
        <v>0</v>
      </c>
      <c r="F54" s="6">
        <v>0.04</v>
      </c>
      <c r="G54" t="s">
        <v>205</v>
      </c>
      <c r="H54" t="s">
        <v>59</v>
      </c>
    </row>
    <row r="55" spans="1:8" x14ac:dyDescent="0.25">
      <c r="A55" t="s">
        <v>206</v>
      </c>
      <c r="B55" t="s">
        <v>207</v>
      </c>
      <c r="C55" t="s">
        <v>176</v>
      </c>
      <c r="D55" s="6">
        <v>0.11</v>
      </c>
      <c r="E55" s="6">
        <v>0</v>
      </c>
      <c r="F55" s="6">
        <v>6.3E-2</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4.17</v>
      </c>
      <c r="E57" s="6">
        <v>4.17</v>
      </c>
      <c r="F57" s="6">
        <v>0</v>
      </c>
      <c r="G57" t="s">
        <v>59</v>
      </c>
      <c r="H57" t="s">
        <v>211</v>
      </c>
    </row>
    <row r="58" spans="1:8" x14ac:dyDescent="0.25">
      <c r="A58" t="s">
        <v>212</v>
      </c>
      <c r="B58" t="s">
        <v>14</v>
      </c>
      <c r="C58" t="s">
        <v>15</v>
      </c>
      <c r="D58" s="9">
        <v>3.7543510691198398</v>
      </c>
      <c r="E58" s="9">
        <v>4.8624862486248599</v>
      </c>
      <c r="F58" s="9">
        <v>10.3012808948223</v>
      </c>
      <c r="G58" t="s">
        <v>59</v>
      </c>
      <c r="H58" t="s">
        <v>213</v>
      </c>
    </row>
    <row r="59" spans="1:8" x14ac:dyDescent="0.25">
      <c r="A59" t="s">
        <v>214</v>
      </c>
      <c r="B59" t="s">
        <v>14</v>
      </c>
      <c r="C59" t="s">
        <v>15</v>
      </c>
      <c r="D59" s="5">
        <v>7.4589756340129307E-2</v>
      </c>
      <c r="E59" s="5">
        <v>0.57205720572057195</v>
      </c>
      <c r="F59" s="5">
        <v>0.59534548078657801</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[1]产科!$O$4</f>
        <v>瘢痕子宫</v>
      </c>
      <c r="E72" s="10" t="str">
        <f>[1]产科!$I$4</f>
        <v>瘢痕子宫</v>
      </c>
      <c r="F72" s="10" t="str">
        <f>[1]产科!$C$4</f>
        <v>子宫瘢痕</v>
      </c>
      <c r="G72" t="s">
        <v>59</v>
      </c>
      <c r="H72" t="s">
        <v>59</v>
      </c>
    </row>
    <row r="73" spans="1:8" x14ac:dyDescent="0.25">
      <c r="A73" t="s">
        <v>241</v>
      </c>
      <c r="B73" t="s">
        <v>59</v>
      </c>
      <c r="C73" t="s">
        <v>90</v>
      </c>
      <c r="D73" s="10" t="str">
        <f>[1]产科!$N$4</f>
        <v>O34.2</v>
      </c>
      <c r="E73" s="10" t="str">
        <f>[1]产科!$H$4</f>
        <v>O34.2</v>
      </c>
      <c r="F73" s="10" t="str">
        <f>[1]产科!$B$4</f>
        <v>O34.2</v>
      </c>
      <c r="G73" t="s">
        <v>59</v>
      </c>
      <c r="H73" t="s">
        <v>59</v>
      </c>
    </row>
    <row r="74" spans="1:8" x14ac:dyDescent="0.25">
      <c r="A74" t="s">
        <v>242</v>
      </c>
      <c r="B74" t="s">
        <v>14</v>
      </c>
      <c r="C74" t="s">
        <v>90</v>
      </c>
      <c r="D74" s="10">
        <f>[1]产科!$Q$4</f>
        <v>12.257583291894599</v>
      </c>
      <c r="E74" s="10">
        <f>[1]产科!$K$4</f>
        <v>12.233223322332201</v>
      </c>
      <c r="F74" s="10">
        <f>[1]产科!$E$4</f>
        <v>12.520295868663201</v>
      </c>
      <c r="G74" t="s">
        <v>59</v>
      </c>
      <c r="H74" t="s">
        <v>59</v>
      </c>
    </row>
    <row r="75" spans="1:8" x14ac:dyDescent="0.25">
      <c r="A75" t="s">
        <v>243</v>
      </c>
      <c r="B75" t="s">
        <v>59</v>
      </c>
      <c r="C75" t="s">
        <v>90</v>
      </c>
      <c r="D75" s="10" t="str">
        <f>[1]产科!$O$5</f>
        <v>胎膜早破</v>
      </c>
      <c r="E75" s="10" t="str">
        <f>[1]产科!$I$5</f>
        <v>分娩时会阴裂伤</v>
      </c>
      <c r="F75" s="10" t="str">
        <f>[1]产科!$C$5</f>
        <v>分娩时会阴裂伤</v>
      </c>
      <c r="G75" t="s">
        <v>59</v>
      </c>
      <c r="H75" t="s">
        <v>59</v>
      </c>
    </row>
    <row r="76" spans="1:8" x14ac:dyDescent="0.25">
      <c r="A76" t="s">
        <v>244</v>
      </c>
      <c r="B76" t="s">
        <v>59</v>
      </c>
      <c r="C76" t="s">
        <v>90</v>
      </c>
      <c r="D76" s="10" t="str">
        <f>[1]产科!$N$5</f>
        <v>O42</v>
      </c>
      <c r="E76" s="10" t="str">
        <f>[1]产科!$H$5</f>
        <v>O70</v>
      </c>
      <c r="F76" s="10" t="str">
        <f>[1]产科!$B$5</f>
        <v>O70</v>
      </c>
      <c r="G76" t="s">
        <v>59</v>
      </c>
      <c r="H76" t="s">
        <v>59</v>
      </c>
    </row>
    <row r="77" spans="1:8" x14ac:dyDescent="0.25">
      <c r="A77" t="s">
        <v>245</v>
      </c>
      <c r="B77" t="s">
        <v>14</v>
      </c>
      <c r="C77" t="s">
        <v>90</v>
      </c>
      <c r="D77" s="10">
        <f>[1]产科!$Q$5</f>
        <v>8.3540527100944804</v>
      </c>
      <c r="E77" s="10">
        <f>[1]产科!$K$5</f>
        <v>9.5049504950494992</v>
      </c>
      <c r="F77" s="10">
        <f>[1]产科!$E$5</f>
        <v>10.788381742738601</v>
      </c>
      <c r="G77" t="s">
        <v>59</v>
      </c>
      <c r="H77" t="s">
        <v>59</v>
      </c>
    </row>
    <row r="78" spans="1:8" x14ac:dyDescent="0.25">
      <c r="A78" t="s">
        <v>246</v>
      </c>
      <c r="B78" t="s">
        <v>59</v>
      </c>
      <c r="C78" t="s">
        <v>90</v>
      </c>
      <c r="D78" s="10" t="str">
        <f>[1]产科!$O$6</f>
        <v>羊水混浊</v>
      </c>
      <c r="E78" s="10" t="str">
        <f>[1]产科!$I$6</f>
        <v>胎膜早破</v>
      </c>
      <c r="F78" s="10" t="str">
        <f>[1]产科!$C$6</f>
        <v>胎膜早破</v>
      </c>
      <c r="G78" t="s">
        <v>59</v>
      </c>
      <c r="H78" t="s">
        <v>59</v>
      </c>
    </row>
    <row r="79" spans="1:8" x14ac:dyDescent="0.25">
      <c r="A79" t="s">
        <v>247</v>
      </c>
      <c r="B79" t="s">
        <v>59</v>
      </c>
      <c r="C79" t="s">
        <v>90</v>
      </c>
      <c r="D79" s="10" t="str">
        <f>[1]产科!$N$6</f>
        <v>O41.8</v>
      </c>
      <c r="E79" s="10" t="str">
        <f>[1]产科!$H$6</f>
        <v>O42</v>
      </c>
      <c r="F79" s="10" t="str">
        <f>[1]产科!$B$6</f>
        <v>O42</v>
      </c>
      <c r="G79" t="s">
        <v>59</v>
      </c>
      <c r="H79" t="s">
        <v>59</v>
      </c>
    </row>
    <row r="80" spans="1:8" x14ac:dyDescent="0.25">
      <c r="A80" t="s">
        <v>248</v>
      </c>
      <c r="B80" t="s">
        <v>14</v>
      </c>
      <c r="C80" t="s">
        <v>90</v>
      </c>
      <c r="D80" s="10">
        <f>[1]产科!$Q$6</f>
        <v>5.4947787170561897</v>
      </c>
      <c r="E80" s="10">
        <f>[1]产科!$K$6</f>
        <v>8.6028602860285996</v>
      </c>
      <c r="F80" s="10">
        <f>[1]产科!$E$6</f>
        <v>8.9662637560887593</v>
      </c>
      <c r="G80" t="s">
        <v>59</v>
      </c>
      <c r="H80" t="s">
        <v>59</v>
      </c>
    </row>
    <row r="81" spans="1:8" x14ac:dyDescent="0.25">
      <c r="A81" t="s">
        <v>249</v>
      </c>
      <c r="B81" t="s">
        <v>59</v>
      </c>
      <c r="C81" t="s">
        <v>90</v>
      </c>
      <c r="D81" s="10" t="str">
        <f>[1]产科!$O$7</f>
        <v>分娩伴胎儿宫内窘迫</v>
      </c>
      <c r="E81" s="10" t="str">
        <f>[1]产科!$I$7</f>
        <v>分娩伴胎儿宫内窘迫</v>
      </c>
      <c r="F81" s="10" t="str">
        <f>[1]产科!$C$7</f>
        <v>分娩伴胎儿宫内窘迫</v>
      </c>
      <c r="G81" t="s">
        <v>59</v>
      </c>
      <c r="H81" t="s">
        <v>59</v>
      </c>
    </row>
    <row r="82" spans="1:8" x14ac:dyDescent="0.25">
      <c r="A82" t="s">
        <v>250</v>
      </c>
      <c r="B82" t="s">
        <v>59</v>
      </c>
      <c r="C82" t="s">
        <v>90</v>
      </c>
      <c r="D82" s="10" t="str">
        <f>[1]产科!$N$7</f>
        <v>O68</v>
      </c>
      <c r="E82" s="10" t="str">
        <f>[1]产科!$H$7</f>
        <v>O68</v>
      </c>
      <c r="F82" s="10" t="str">
        <f>[1]产科!$B$7</f>
        <v>O68</v>
      </c>
      <c r="G82" t="s">
        <v>59</v>
      </c>
      <c r="H82" t="s">
        <v>59</v>
      </c>
    </row>
    <row r="83" spans="1:8" x14ac:dyDescent="0.25">
      <c r="A83" t="s">
        <v>251</v>
      </c>
      <c r="B83" t="s">
        <v>14</v>
      </c>
      <c r="C83" t="s">
        <v>90</v>
      </c>
      <c r="D83" s="10">
        <f>[1]产科!$Q$7</f>
        <v>6.5141720537046197</v>
      </c>
      <c r="E83" s="10">
        <f>[1]产科!$K$7</f>
        <v>6.6666666666666696</v>
      </c>
      <c r="F83" s="10">
        <f>[1]产科!$E$7</f>
        <v>7.3245534908894099</v>
      </c>
      <c r="G83" t="s">
        <v>59</v>
      </c>
      <c r="H83" t="s">
        <v>59</v>
      </c>
    </row>
    <row r="84" spans="1:8" x14ac:dyDescent="0.25">
      <c r="A84" t="s">
        <v>252</v>
      </c>
      <c r="B84" t="s">
        <v>59</v>
      </c>
      <c r="C84" t="s">
        <v>90</v>
      </c>
      <c r="D84" s="10" t="str">
        <f>[1]产科!$O$8</f>
        <v>分娩时会阴裂伤</v>
      </c>
      <c r="E84" s="10" t="str">
        <f>[1]产科!$I$8</f>
        <v>羊水混浊</v>
      </c>
      <c r="F84" s="10" t="str">
        <f>[1]产科!$C$8</f>
        <v>羊水混浊</v>
      </c>
      <c r="G84" t="s">
        <v>59</v>
      </c>
      <c r="H84" t="s">
        <v>59</v>
      </c>
    </row>
    <row r="85" spans="1:8" x14ac:dyDescent="0.25">
      <c r="A85" t="s">
        <v>253</v>
      </c>
      <c r="B85" t="s">
        <v>59</v>
      </c>
      <c r="C85" t="s">
        <v>90</v>
      </c>
      <c r="D85" s="10" t="str">
        <f>[1]产科!$N$8</f>
        <v>O70</v>
      </c>
      <c r="E85" s="10" t="str">
        <f>[1]产科!$H$8</f>
        <v>O41.8</v>
      </c>
      <c r="F85" s="10" t="str">
        <f>[1]产科!$B$8</f>
        <v>O41.8</v>
      </c>
      <c r="G85" t="s">
        <v>59</v>
      </c>
      <c r="H85" t="s">
        <v>59</v>
      </c>
    </row>
    <row r="86" spans="1:8" x14ac:dyDescent="0.25">
      <c r="A86" t="s">
        <v>254</v>
      </c>
      <c r="B86" t="s">
        <v>14</v>
      </c>
      <c r="C86" t="s">
        <v>90</v>
      </c>
      <c r="D86" s="10">
        <f>[1]产科!$Q$8</f>
        <v>5.5693684733963202</v>
      </c>
      <c r="E86" s="10">
        <f>[1]产科!$K$8</f>
        <v>4.0264026402640303</v>
      </c>
      <c r="F86" s="10">
        <f>[1]产科!$E$8</f>
        <v>5.0514162006133896</v>
      </c>
      <c r="G86" t="s">
        <v>59</v>
      </c>
      <c r="H86" t="s">
        <v>59</v>
      </c>
    </row>
    <row r="87" spans="1:8" x14ac:dyDescent="0.25">
      <c r="A87" t="s">
        <v>255</v>
      </c>
      <c r="B87" t="s">
        <v>59</v>
      </c>
      <c r="C87" t="s">
        <v>90</v>
      </c>
      <c r="D87" s="22" t="str">
        <f>[2]产科!$O$4</f>
        <v>剖宫产术，子宫下段横切口</v>
      </c>
      <c r="E87" s="22" t="str">
        <f>[2]产科!$I$4</f>
        <v>子宫下段剖宫产术</v>
      </c>
      <c r="F87" s="22" t="str">
        <f>[2]产科!$C$4</f>
        <v>子宫下段剖宫产术</v>
      </c>
      <c r="G87" t="s">
        <v>59</v>
      </c>
      <c r="H87" t="s">
        <v>59</v>
      </c>
    </row>
    <row r="88" spans="1:8" x14ac:dyDescent="0.25">
      <c r="A88" t="s">
        <v>256</v>
      </c>
      <c r="B88" t="s">
        <v>59</v>
      </c>
      <c r="C88" t="s">
        <v>90</v>
      </c>
      <c r="D88" s="23" t="str">
        <f>[2]产科!$N$4</f>
        <v>74.1x</v>
      </c>
      <c r="E88" s="23">
        <f>[2]产科!$H$4</f>
        <v>74.099999999999994</v>
      </c>
      <c r="F88" s="23" t="str">
        <f>[2]产科!$B$4</f>
        <v>74.1</v>
      </c>
      <c r="G88" t="s">
        <v>59</v>
      </c>
      <c r="H88" t="s">
        <v>59</v>
      </c>
    </row>
    <row r="89" spans="1:8" x14ac:dyDescent="0.25">
      <c r="A89" t="s">
        <v>257</v>
      </c>
      <c r="B89" t="s">
        <v>14</v>
      </c>
      <c r="C89" t="s">
        <v>90</v>
      </c>
      <c r="D89" s="24">
        <f>[2]产科!$Q$4</f>
        <v>50.373983739837399</v>
      </c>
      <c r="E89" s="24">
        <f>[2]产科!$K$4</f>
        <v>49.328379537010598</v>
      </c>
      <c r="F89" s="24">
        <f>[2]产科!$E$4</f>
        <v>51.045539033457302</v>
      </c>
      <c r="G89" t="s">
        <v>59</v>
      </c>
      <c r="H89" t="s">
        <v>59</v>
      </c>
    </row>
    <row r="90" spans="1:8" x14ac:dyDescent="0.25">
      <c r="A90" t="s">
        <v>258</v>
      </c>
      <c r="B90" t="s">
        <v>59</v>
      </c>
      <c r="C90" t="s">
        <v>90</v>
      </c>
      <c r="D90" s="25" t="str">
        <f>[2]产科!$O$5</f>
        <v>近期产科会阴裂伤修补术</v>
      </c>
      <c r="E90" s="25" t="str">
        <f>[2]产科!$I$5</f>
        <v>产科近期会阴Ⅰ-Ⅱ度裂伤修补术</v>
      </c>
      <c r="F90" s="25" t="str">
        <f>[2]产科!$C$5</f>
        <v>产科近期会阴Ⅰ-Ⅱ度裂伤修补术</v>
      </c>
      <c r="G90" t="s">
        <v>59</v>
      </c>
      <c r="H90" t="s">
        <v>59</v>
      </c>
    </row>
    <row r="91" spans="1:8" x14ac:dyDescent="0.25">
      <c r="A91" t="s">
        <v>259</v>
      </c>
      <c r="B91" t="s">
        <v>59</v>
      </c>
      <c r="C91" t="s">
        <v>90</v>
      </c>
      <c r="D91" s="26">
        <f>[2]产科!$N$5</f>
        <v>75.69</v>
      </c>
      <c r="E91" s="26">
        <f>[2]产科!$H$5</f>
        <v>75.69</v>
      </c>
      <c r="F91" s="26" t="str">
        <f>[2]产科!$B$5</f>
        <v>75.69</v>
      </c>
      <c r="G91" t="s">
        <v>59</v>
      </c>
      <c r="H91" t="s">
        <v>59</v>
      </c>
    </row>
    <row r="92" spans="1:8" x14ac:dyDescent="0.25">
      <c r="A92" t="s">
        <v>260</v>
      </c>
      <c r="B92" t="s">
        <v>14</v>
      </c>
      <c r="C92" t="s">
        <v>90</v>
      </c>
      <c r="D92" s="24">
        <f>[2]产科!$Q$5</f>
        <v>33.626016260162601</v>
      </c>
      <c r="E92" s="24">
        <f>[2]产科!$K$5</f>
        <v>33.380965990282903</v>
      </c>
      <c r="F92" s="24">
        <f>[2]产科!$E$5</f>
        <v>34.572490706319698</v>
      </c>
      <c r="G92" t="s">
        <v>59</v>
      </c>
      <c r="H92" t="s">
        <v>59</v>
      </c>
    </row>
    <row r="93" spans="1:8" x14ac:dyDescent="0.25">
      <c r="A93" t="s">
        <v>261</v>
      </c>
      <c r="B93" t="s">
        <v>59</v>
      </c>
      <c r="C93" t="s">
        <v>90</v>
      </c>
      <c r="D93" s="27" t="str">
        <f>[2]产科!$O$6</f>
        <v>会阴侧切缝合术</v>
      </c>
      <c r="E93" s="27" t="str">
        <f>[2]产科!$I$6</f>
        <v>产科会阴切开缝合术</v>
      </c>
      <c r="F93" s="27" t="str">
        <f>[2]产科!$C$6</f>
        <v>产科会阴切开缝合术</v>
      </c>
      <c r="G93" t="s">
        <v>59</v>
      </c>
      <c r="H93" t="s">
        <v>59</v>
      </c>
    </row>
    <row r="94" spans="1:8" x14ac:dyDescent="0.25">
      <c r="A94" t="s">
        <v>262</v>
      </c>
      <c r="B94" t="s">
        <v>59</v>
      </c>
      <c r="C94" t="s">
        <v>90</v>
      </c>
      <c r="D94" s="28" t="str">
        <f>[2]产科!$N$6</f>
        <v>73.6x</v>
      </c>
      <c r="E94" s="28">
        <f>[2]产科!$H$6</f>
        <v>73.599999999999994</v>
      </c>
      <c r="F94" s="28" t="str">
        <f>[2]产科!$B$6</f>
        <v>73.6</v>
      </c>
      <c r="G94" t="s">
        <v>59</v>
      </c>
      <c r="H94" t="s">
        <v>59</v>
      </c>
    </row>
    <row r="95" spans="1:8" x14ac:dyDescent="0.25">
      <c r="A95" t="s">
        <v>263</v>
      </c>
      <c r="B95" t="s">
        <v>14</v>
      </c>
      <c r="C95" t="s">
        <v>90</v>
      </c>
      <c r="D95" s="24">
        <f>[2]产科!$Q$6</f>
        <v>9.5609756097561007</v>
      </c>
      <c r="E95" s="24">
        <f>[2]产科!$K$6</f>
        <v>10.9174049728494</v>
      </c>
      <c r="F95" s="24">
        <f>[2]产科!$E$6</f>
        <v>10.3159851301115</v>
      </c>
      <c r="G95" t="s">
        <v>59</v>
      </c>
      <c r="H95" t="s">
        <v>59</v>
      </c>
    </row>
    <row r="96" spans="1:8" x14ac:dyDescent="0.25">
      <c r="A96" t="s">
        <v>264</v>
      </c>
      <c r="B96" t="s">
        <v>59</v>
      </c>
      <c r="C96" t="s">
        <v>90</v>
      </c>
      <c r="D96" s="24" t="str">
        <f>[2]产科!$O$7</f>
        <v>低位产钳手术伴外阴切开术</v>
      </c>
      <c r="E96" s="24" t="str">
        <f>[2]产科!$I$7</f>
        <v>子宫颈近期产科裂伤修补术</v>
      </c>
      <c r="F96" s="24" t="str">
        <f>[2]产科!$C$7</f>
        <v>子宫颈近期产科裂伤修补术</v>
      </c>
      <c r="G96" t="s">
        <v>59</v>
      </c>
      <c r="H96" t="s">
        <v>59</v>
      </c>
    </row>
    <row r="97" spans="1:8" x14ac:dyDescent="0.25">
      <c r="A97" t="s">
        <v>265</v>
      </c>
      <c r="B97" t="s">
        <v>59</v>
      </c>
      <c r="C97" t="s">
        <v>90</v>
      </c>
      <c r="D97" s="25" t="str">
        <f>[2]产科!$N$7</f>
        <v>72.1x</v>
      </c>
      <c r="E97" s="25">
        <f>[2]产科!$H$7</f>
        <v>75.510000000000005</v>
      </c>
      <c r="F97" s="25" t="str">
        <f>[2]产科!$B$7</f>
        <v>75.51</v>
      </c>
      <c r="G97" t="s">
        <v>59</v>
      </c>
      <c r="H97" t="s">
        <v>59</v>
      </c>
    </row>
    <row r="98" spans="1:8" x14ac:dyDescent="0.25">
      <c r="A98" t="s">
        <v>266</v>
      </c>
      <c r="B98" t="s">
        <v>14</v>
      </c>
      <c r="C98" t="s">
        <v>90</v>
      </c>
      <c r="D98" s="26">
        <f>[2]产科!$Q$7</f>
        <v>1.82113821138211</v>
      </c>
      <c r="E98" s="26">
        <f>[2]产科!$K$7</f>
        <v>1.6290368676764799</v>
      </c>
      <c r="F98" s="26">
        <f>[2]产科!$E$7</f>
        <v>1.20817843866171</v>
      </c>
      <c r="G98" t="s">
        <v>59</v>
      </c>
      <c r="H98" t="s">
        <v>59</v>
      </c>
    </row>
    <row r="99" spans="1:8" x14ac:dyDescent="0.25">
      <c r="A99" t="s">
        <v>267</v>
      </c>
      <c r="B99" t="s">
        <v>59</v>
      </c>
      <c r="C99" t="s">
        <v>90</v>
      </c>
      <c r="D99" s="24" t="str">
        <f>[2]产科!$O$8</f>
        <v>子宫颈近期产科裂伤修补术</v>
      </c>
      <c r="E99" s="24" t="str">
        <f>[2]产科!$I$8</f>
        <v>低位产钳伴外阴切开术</v>
      </c>
      <c r="F99" s="24" t="str">
        <f>[2]产科!$C$8</f>
        <v>低位产钳伴外阴切开术</v>
      </c>
      <c r="G99" t="s">
        <v>59</v>
      </c>
      <c r="H99" t="s">
        <v>59</v>
      </c>
    </row>
    <row r="100" spans="1:8" x14ac:dyDescent="0.25">
      <c r="A100" t="s">
        <v>268</v>
      </c>
      <c r="B100" t="s">
        <v>59</v>
      </c>
      <c r="C100" t="s">
        <v>90</v>
      </c>
      <c r="D100" s="10">
        <f>[2]产科!$N$8</f>
        <v>75.510000000000005</v>
      </c>
      <c r="E100" s="10">
        <f>[2]产科!$H$8</f>
        <v>72.099999999999994</v>
      </c>
      <c r="F100" s="10" t="str">
        <f>[2]产科!$B$8</f>
        <v>72.1</v>
      </c>
      <c r="G100" t="s">
        <v>59</v>
      </c>
      <c r="H100" t="s">
        <v>59</v>
      </c>
    </row>
    <row r="101" spans="1:8" x14ac:dyDescent="0.25">
      <c r="A101" t="s">
        <v>269</v>
      </c>
      <c r="B101" t="s">
        <v>14</v>
      </c>
      <c r="C101" t="s">
        <v>90</v>
      </c>
      <c r="D101" s="10">
        <f>[2]产科!$Q$8</f>
        <v>1.0081300813008101</v>
      </c>
      <c r="E101" s="10">
        <f>[2]产科!$K$8</f>
        <v>1.54329808516719</v>
      </c>
      <c r="F101" s="10">
        <f>[2]产科!$E$8</f>
        <v>0.55762081784386597</v>
      </c>
      <c r="G101" t="s">
        <v>59</v>
      </c>
      <c r="H101" t="s">
        <v>59</v>
      </c>
    </row>
  </sheetData>
  <phoneticPr fontId="10" type="noConversion"/>
  <conditionalFormatting sqref="D88">
    <cfRule type="duplicateValues" dxfId="23" priority="12"/>
  </conditionalFormatting>
  <conditionalFormatting sqref="E88">
    <cfRule type="duplicateValues" dxfId="22" priority="4"/>
  </conditionalFormatting>
  <conditionalFormatting sqref="F88">
    <cfRule type="duplicateValues" dxfId="21" priority="8"/>
  </conditionalFormatting>
  <conditionalFormatting sqref="D91">
    <cfRule type="duplicateValues" dxfId="20" priority="11"/>
  </conditionalFormatting>
  <conditionalFormatting sqref="E91">
    <cfRule type="duplicateValues" dxfId="19" priority="3"/>
  </conditionalFormatting>
  <conditionalFormatting sqref="F91">
    <cfRule type="duplicateValues" dxfId="18" priority="7"/>
  </conditionalFormatting>
  <conditionalFormatting sqref="D94">
    <cfRule type="duplicateValues" dxfId="17" priority="9"/>
  </conditionalFormatting>
  <conditionalFormatting sqref="E94">
    <cfRule type="duplicateValues" dxfId="16" priority="1"/>
  </conditionalFormatting>
  <conditionalFormatting sqref="F94">
    <cfRule type="duplicateValues" dxfId="15" priority="5"/>
  </conditionalFormatting>
  <conditionalFormatting sqref="D98">
    <cfRule type="duplicateValues" dxfId="14" priority="10"/>
  </conditionalFormatting>
  <conditionalFormatting sqref="E98">
    <cfRule type="duplicateValues" dxfId="13" priority="2"/>
  </conditionalFormatting>
  <conditionalFormatting sqref="F98">
    <cfRule type="duplicateValues" dxfId="12" priority="6"/>
  </conditionalFormatting>
  <pageMargins left="0.69930555555555596" right="0.69930555555555596" top="0.75" bottom="0.75" header="0.3" footer="0.3"/>
  <ignoredErrors>
    <ignoredError sqref="A2:B31 G2:H31 G34:H101 A34:B101 A1:H1" numberStoredAsText="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84.853420195439696</v>
      </c>
      <c r="E2" s="5">
        <v>82.318104906937407</v>
      </c>
      <c r="F2" s="5">
        <v>72.334494773519197</v>
      </c>
      <c r="G2" t="s">
        <v>16</v>
      </c>
      <c r="H2" t="s">
        <v>17</v>
      </c>
    </row>
    <row r="3" spans="1:8" x14ac:dyDescent="0.25">
      <c r="A3" t="s">
        <v>18</v>
      </c>
      <c r="B3" t="s">
        <v>14</v>
      </c>
      <c r="C3" t="s">
        <v>15</v>
      </c>
      <c r="D3" s="5">
        <v>73.608445297504801</v>
      </c>
      <c r="E3" s="5">
        <v>70.503597122302196</v>
      </c>
      <c r="F3" s="5">
        <v>62.138728323699397</v>
      </c>
      <c r="G3" t="s">
        <v>19</v>
      </c>
      <c r="H3" t="s">
        <v>20</v>
      </c>
    </row>
    <row r="4" spans="1:8" x14ac:dyDescent="0.25">
      <c r="A4" t="s">
        <v>21</v>
      </c>
      <c r="B4" t="s">
        <v>14</v>
      </c>
      <c r="C4" t="s">
        <v>15</v>
      </c>
      <c r="D4" s="5">
        <v>2.8790786948176601</v>
      </c>
      <c r="E4" s="5">
        <v>1.43884892086331</v>
      </c>
      <c r="F4" s="5">
        <v>0.96339113680154098</v>
      </c>
      <c r="G4" t="s">
        <v>22</v>
      </c>
      <c r="H4" t="s">
        <v>23</v>
      </c>
    </row>
    <row r="5" spans="1:8" x14ac:dyDescent="0.25">
      <c r="A5" t="s">
        <v>24</v>
      </c>
      <c r="B5" t="s">
        <v>14</v>
      </c>
      <c r="C5" t="s">
        <v>15</v>
      </c>
      <c r="D5" s="5">
        <v>86.16</v>
      </c>
      <c r="E5" s="5">
        <v>79.61</v>
      </c>
      <c r="F5" s="5">
        <v>67.8</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0.25</v>
      </c>
      <c r="E10" s="6">
        <v>0.25</v>
      </c>
      <c r="F10" s="6">
        <v>0.63</v>
      </c>
      <c r="G10" t="s">
        <v>58</v>
      </c>
      <c r="H10" t="s">
        <v>59</v>
      </c>
    </row>
    <row r="11" spans="1:8" x14ac:dyDescent="0.25">
      <c r="A11" t="s">
        <v>63</v>
      </c>
      <c r="B11" t="s">
        <v>64</v>
      </c>
      <c r="C11" t="s">
        <v>61</v>
      </c>
      <c r="D11" s="5">
        <v>37.5315343597835</v>
      </c>
      <c r="E11" s="5">
        <v>47.4453546539672</v>
      </c>
      <c r="F11" s="5">
        <v>23.464793558662102</v>
      </c>
      <c r="G11" t="s">
        <v>35</v>
      </c>
      <c r="H11" t="s">
        <v>65</v>
      </c>
    </row>
    <row r="12" spans="1:8" x14ac:dyDescent="0.25">
      <c r="A12" t="s">
        <v>66</v>
      </c>
      <c r="B12" t="s">
        <v>14</v>
      </c>
      <c r="C12" t="s">
        <v>61</v>
      </c>
      <c r="D12" s="6">
        <v>43.29</v>
      </c>
      <c r="E12" s="6">
        <v>46.39</v>
      </c>
      <c r="F12" s="6">
        <v>62.32</v>
      </c>
      <c r="G12" t="s">
        <v>39</v>
      </c>
      <c r="H12" t="s">
        <v>67</v>
      </c>
    </row>
    <row r="13" spans="1:8" x14ac:dyDescent="0.25">
      <c r="A13" t="s">
        <v>68</v>
      </c>
      <c r="B13" t="s">
        <v>14</v>
      </c>
      <c r="C13" t="s">
        <v>61</v>
      </c>
      <c r="D13" s="6">
        <v>97.18</v>
      </c>
      <c r="E13" s="6">
        <v>95.51</v>
      </c>
      <c r="F13" s="6">
        <v>86.05</v>
      </c>
      <c r="G13" t="s">
        <v>39</v>
      </c>
      <c r="H13" t="s">
        <v>69</v>
      </c>
    </row>
    <row r="14" spans="1:8" x14ac:dyDescent="0.25">
      <c r="A14" t="s">
        <v>74</v>
      </c>
      <c r="B14" t="s">
        <v>14</v>
      </c>
      <c r="C14" t="s">
        <v>75</v>
      </c>
      <c r="D14" s="18">
        <f>546910/9557530*100</f>
        <v>5.7222943584796484</v>
      </c>
      <c r="E14" s="6">
        <v>0</v>
      </c>
      <c r="F14" s="6">
        <v>0</v>
      </c>
      <c r="G14" t="s">
        <v>35</v>
      </c>
      <c r="H14" t="s">
        <v>76</v>
      </c>
    </row>
    <row r="15" spans="1:8" x14ac:dyDescent="0.25">
      <c r="A15" t="s">
        <v>91</v>
      </c>
      <c r="B15" t="s">
        <v>92</v>
      </c>
      <c r="C15" t="s">
        <v>15</v>
      </c>
      <c r="D15" s="6">
        <v>3.53</v>
      </c>
      <c r="E15" s="6">
        <v>3.98</v>
      </c>
      <c r="F15" s="6">
        <v>5.0199999999999996</v>
      </c>
      <c r="G15" t="s">
        <v>93</v>
      </c>
      <c r="H15" t="s">
        <v>94</v>
      </c>
    </row>
    <row r="16" spans="1:8" x14ac:dyDescent="0.25">
      <c r="A16" t="s">
        <v>95</v>
      </c>
      <c r="B16" t="s">
        <v>59</v>
      </c>
      <c r="C16" t="s">
        <v>34</v>
      </c>
      <c r="D16" s="6">
        <v>0.81</v>
      </c>
      <c r="E16" s="6">
        <v>0.72</v>
      </c>
      <c r="F16" s="6">
        <v>0.73</v>
      </c>
      <c r="G16" t="s">
        <v>96</v>
      </c>
      <c r="H16" t="s">
        <v>59</v>
      </c>
    </row>
    <row r="17" spans="1:8" x14ac:dyDescent="0.25">
      <c r="A17" t="s">
        <v>97</v>
      </c>
      <c r="B17" t="s">
        <v>98</v>
      </c>
      <c r="C17" t="s">
        <v>34</v>
      </c>
      <c r="D17" s="6">
        <v>96</v>
      </c>
      <c r="E17" s="6">
        <v>82</v>
      </c>
      <c r="F17" s="6">
        <v>104</v>
      </c>
      <c r="G17" t="s">
        <v>99</v>
      </c>
      <c r="H17" t="s">
        <v>59</v>
      </c>
    </row>
    <row r="18" spans="1:8" x14ac:dyDescent="0.25">
      <c r="A18" t="s">
        <v>104</v>
      </c>
      <c r="B18" t="s">
        <v>105</v>
      </c>
      <c r="C18" t="s">
        <v>15</v>
      </c>
      <c r="D18" s="6">
        <v>20</v>
      </c>
      <c r="E18" s="6">
        <v>20</v>
      </c>
      <c r="F18" s="6">
        <v>20</v>
      </c>
      <c r="G18" t="s">
        <v>58</v>
      </c>
      <c r="H18" t="s">
        <v>59</v>
      </c>
    </row>
    <row r="19" spans="1:8" x14ac:dyDescent="0.25">
      <c r="A19" t="s">
        <v>106</v>
      </c>
      <c r="B19" t="s">
        <v>105</v>
      </c>
      <c r="C19" t="s">
        <v>15</v>
      </c>
      <c r="D19" s="6">
        <v>25</v>
      </c>
      <c r="E19" s="6">
        <v>20</v>
      </c>
      <c r="F19" s="6">
        <v>28</v>
      </c>
      <c r="G19" t="s">
        <v>58</v>
      </c>
      <c r="H19" t="s">
        <v>59</v>
      </c>
    </row>
    <row r="20" spans="1:8" x14ac:dyDescent="0.25">
      <c r="A20" t="s">
        <v>107</v>
      </c>
      <c r="B20" t="s">
        <v>14</v>
      </c>
      <c r="C20" t="s">
        <v>15</v>
      </c>
      <c r="D20" s="6">
        <v>53.06</v>
      </c>
      <c r="E20" s="6">
        <v>53.71</v>
      </c>
      <c r="F20" s="6">
        <v>70.650000000000006</v>
      </c>
      <c r="G20" t="s">
        <v>58</v>
      </c>
      <c r="H20" t="s">
        <v>108</v>
      </c>
    </row>
    <row r="21" spans="1:8" x14ac:dyDescent="0.25">
      <c r="A21" t="s">
        <v>112</v>
      </c>
      <c r="B21" t="s">
        <v>59</v>
      </c>
      <c r="C21" t="s">
        <v>102</v>
      </c>
      <c r="D21" s="5">
        <f t="shared" ref="D21:F21" si="0">D43/D19</f>
        <v>0.24</v>
      </c>
      <c r="E21" s="5">
        <f t="shared" si="0"/>
        <v>0.25</v>
      </c>
      <c r="F21" s="5">
        <f t="shared" si="0"/>
        <v>0.17857142857142858</v>
      </c>
      <c r="G21" t="s">
        <v>110</v>
      </c>
      <c r="H21" t="s">
        <v>113</v>
      </c>
    </row>
    <row r="22" spans="1:8" x14ac:dyDescent="0.25">
      <c r="A22" t="s">
        <v>114</v>
      </c>
      <c r="B22" t="s">
        <v>59</v>
      </c>
      <c r="C22" t="s">
        <v>102</v>
      </c>
      <c r="D22" s="5">
        <f t="shared" ref="D22:F22" si="1">D44/D19</f>
        <v>0.64</v>
      </c>
      <c r="E22" s="5">
        <f t="shared" si="1"/>
        <v>0.95</v>
      </c>
      <c r="F22" s="5">
        <f t="shared" si="1"/>
        <v>0.5</v>
      </c>
      <c r="G22" t="s">
        <v>110</v>
      </c>
      <c r="H22" t="s">
        <v>115</v>
      </c>
    </row>
    <row r="23" spans="1:8" x14ac:dyDescent="0.25">
      <c r="A23" t="s">
        <v>116</v>
      </c>
      <c r="B23" t="s">
        <v>117</v>
      </c>
      <c r="C23" t="s">
        <v>118</v>
      </c>
      <c r="D23" s="5">
        <v>22.891053931034499</v>
      </c>
      <c r="E23" s="5">
        <v>21.251513034482802</v>
      </c>
      <c r="F23" s="5">
        <v>25.092892777777799</v>
      </c>
      <c r="G23" t="s">
        <v>119</v>
      </c>
      <c r="H23" t="s">
        <v>59</v>
      </c>
    </row>
    <row r="24" spans="1:8" x14ac:dyDescent="0.25">
      <c r="A24" t="s">
        <v>120</v>
      </c>
      <c r="B24" t="s">
        <v>117</v>
      </c>
      <c r="C24" t="s">
        <v>118</v>
      </c>
      <c r="D24" s="5">
        <v>29.453744034482799</v>
      </c>
      <c r="E24" s="5">
        <v>26.924057448275899</v>
      </c>
      <c r="F24" s="5">
        <v>31.977778370370402</v>
      </c>
      <c r="G24" t="s">
        <v>121</v>
      </c>
      <c r="H24" t="s">
        <v>59</v>
      </c>
    </row>
    <row r="25" spans="1:8" x14ac:dyDescent="0.25">
      <c r="A25" t="s">
        <v>122</v>
      </c>
      <c r="B25" t="s">
        <v>117</v>
      </c>
      <c r="C25" t="s">
        <v>118</v>
      </c>
      <c r="D25" s="5">
        <v>28.417832363013702</v>
      </c>
      <c r="E25" s="5">
        <v>24.991641443633402</v>
      </c>
      <c r="F25" s="5">
        <v>24.196718035714301</v>
      </c>
      <c r="G25" t="s">
        <v>123</v>
      </c>
      <c r="H25" t="s">
        <v>59</v>
      </c>
    </row>
    <row r="26" spans="1:8" x14ac:dyDescent="0.25">
      <c r="A26" t="s">
        <v>124</v>
      </c>
      <c r="B26" t="s">
        <v>117</v>
      </c>
      <c r="C26" t="s">
        <v>118</v>
      </c>
      <c r="D26" s="5">
        <v>36.5650075770548</v>
      </c>
      <c r="E26" s="5">
        <v>31.662516869424199</v>
      </c>
      <c r="F26" s="5">
        <v>30.8357148571429</v>
      </c>
      <c r="G26" t="s">
        <v>125</v>
      </c>
      <c r="H26" t="s">
        <v>59</v>
      </c>
    </row>
    <row r="27" spans="1:8" x14ac:dyDescent="0.25">
      <c r="A27" t="s">
        <v>126</v>
      </c>
      <c r="B27" t="s">
        <v>127</v>
      </c>
      <c r="C27" t="s">
        <v>118</v>
      </c>
      <c r="D27" s="5">
        <v>2.06529680365297</v>
      </c>
      <c r="E27" s="5">
        <v>2.6558904109589001</v>
      </c>
      <c r="F27" s="5">
        <v>3.95616438356164</v>
      </c>
      <c r="G27" t="s">
        <v>39</v>
      </c>
      <c r="H27" t="s">
        <v>128</v>
      </c>
    </row>
    <row r="28" spans="1:8" x14ac:dyDescent="0.25">
      <c r="A28" t="s">
        <v>129</v>
      </c>
      <c r="B28" t="s">
        <v>14</v>
      </c>
      <c r="C28" t="s">
        <v>118</v>
      </c>
      <c r="D28" s="5">
        <v>63.053664732414703</v>
      </c>
      <c r="E28" s="5">
        <v>66.864050842562307</v>
      </c>
      <c r="F28" s="5">
        <v>63.334632854086401</v>
      </c>
      <c r="G28" t="s">
        <v>130</v>
      </c>
      <c r="H28" t="s">
        <v>131</v>
      </c>
    </row>
    <row r="29" spans="1:8" x14ac:dyDescent="0.25">
      <c r="A29" t="s">
        <v>132</v>
      </c>
      <c r="B29" t="s">
        <v>117</v>
      </c>
      <c r="C29" t="s">
        <v>118</v>
      </c>
      <c r="D29" s="5">
        <v>1052.818368</v>
      </c>
      <c r="E29" s="5">
        <v>921.71184700000003</v>
      </c>
      <c r="F29" s="5">
        <v>1069.7276899999999</v>
      </c>
      <c r="G29" t="s">
        <v>59</v>
      </c>
      <c r="H29" t="s">
        <v>133</v>
      </c>
    </row>
    <row r="30" spans="1:8" x14ac:dyDescent="0.25">
      <c r="A30" t="s">
        <v>134</v>
      </c>
      <c r="B30" t="s">
        <v>117</v>
      </c>
      <c r="C30" t="s">
        <v>118</v>
      </c>
      <c r="D30" s="5">
        <v>663.84056399999997</v>
      </c>
      <c r="E30" s="5">
        <v>616.29387799999995</v>
      </c>
      <c r="F30" s="5">
        <v>677.508105</v>
      </c>
      <c r="G30" t="s">
        <v>59</v>
      </c>
      <c r="H30" t="s">
        <v>59</v>
      </c>
    </row>
    <row r="31" spans="1:8" x14ac:dyDescent="0.25">
      <c r="A31" t="s">
        <v>135</v>
      </c>
      <c r="B31" t="s">
        <v>117</v>
      </c>
      <c r="C31" t="s">
        <v>118</v>
      </c>
      <c r="D31" s="5">
        <v>854.15857700000004</v>
      </c>
      <c r="E31" s="5">
        <v>780.79766600000005</v>
      </c>
      <c r="F31" s="5">
        <v>863.40001600000005</v>
      </c>
      <c r="G31" t="s">
        <v>59</v>
      </c>
      <c r="H31" t="s">
        <v>136</v>
      </c>
    </row>
    <row r="32" spans="1:8" x14ac:dyDescent="0.25">
      <c r="A32" t="s">
        <v>216</v>
      </c>
      <c r="B32" t="s">
        <v>117</v>
      </c>
      <c r="D32" s="17">
        <v>876.03</v>
      </c>
      <c r="E32" s="17">
        <v>647.26</v>
      </c>
      <c r="F32" s="17">
        <v>763.78</v>
      </c>
    </row>
    <row r="33" spans="1:8" x14ac:dyDescent="0.25">
      <c r="A33" t="s">
        <v>143</v>
      </c>
      <c r="B33" t="s">
        <v>14</v>
      </c>
      <c r="D33" s="15">
        <v>-15.65</v>
      </c>
      <c r="E33" s="15">
        <v>-16.54</v>
      </c>
      <c r="F33" s="15">
        <v>-23.03</v>
      </c>
    </row>
    <row r="34" spans="1:8" x14ac:dyDescent="0.25">
      <c r="A34" t="s">
        <v>137</v>
      </c>
      <c r="B34" t="s">
        <v>138</v>
      </c>
      <c r="C34" t="s">
        <v>139</v>
      </c>
      <c r="D34" s="6"/>
      <c r="E34" s="6"/>
      <c r="F34" s="6"/>
      <c r="G34" t="s">
        <v>35</v>
      </c>
      <c r="H34" t="s">
        <v>140</v>
      </c>
    </row>
    <row r="35" spans="1:8" x14ac:dyDescent="0.25">
      <c r="A35" t="s">
        <v>217</v>
      </c>
      <c r="B35" t="s">
        <v>14</v>
      </c>
      <c r="C35" t="s">
        <v>118</v>
      </c>
      <c r="D35" s="5">
        <v>20.2811512878164</v>
      </c>
      <c r="E35" s="5">
        <v>15.567525736706701</v>
      </c>
      <c r="F35" s="5">
        <v>16.444585817910301</v>
      </c>
      <c r="G35" t="s">
        <v>22</v>
      </c>
      <c r="H35" t="s">
        <v>218</v>
      </c>
    </row>
    <row r="36" spans="1:8" x14ac:dyDescent="0.25">
      <c r="A36" t="s">
        <v>219</v>
      </c>
      <c r="B36" t="s">
        <v>14</v>
      </c>
      <c r="C36" t="s">
        <v>118</v>
      </c>
      <c r="D36" s="5">
        <v>79.7188487121836</v>
      </c>
      <c r="E36" s="5">
        <v>84.432474263293301</v>
      </c>
      <c r="F36" s="5">
        <v>83.555414182089606</v>
      </c>
      <c r="G36" t="s">
        <v>22</v>
      </c>
      <c r="H36" t="s">
        <v>220</v>
      </c>
    </row>
    <row r="37" spans="1:8" x14ac:dyDescent="0.25">
      <c r="A37" t="s">
        <v>144</v>
      </c>
      <c r="B37" t="s">
        <v>14</v>
      </c>
      <c r="C37" t="s">
        <v>118</v>
      </c>
      <c r="D37" s="5">
        <v>14.224241711412001</v>
      </c>
      <c r="E37" s="5">
        <v>-13.836777750419801</v>
      </c>
      <c r="F37" s="5">
        <v>17.4376967674791</v>
      </c>
      <c r="G37" t="s">
        <v>35</v>
      </c>
      <c r="H37" t="s">
        <v>145</v>
      </c>
    </row>
    <row r="38" spans="1:8" x14ac:dyDescent="0.25">
      <c r="A38" t="s">
        <v>146</v>
      </c>
      <c r="B38" t="s">
        <v>14</v>
      </c>
      <c r="C38" t="s">
        <v>118</v>
      </c>
      <c r="D38" s="5">
        <v>24.862354607305601</v>
      </c>
      <c r="E38" s="5">
        <v>-2.5830186505605099</v>
      </c>
      <c r="F38" s="5">
        <v>17.514863574828901</v>
      </c>
      <c r="G38" t="s">
        <v>35</v>
      </c>
      <c r="H38" t="s">
        <v>147</v>
      </c>
    </row>
    <row r="39" spans="1:8" x14ac:dyDescent="0.25">
      <c r="A39" t="s">
        <v>148</v>
      </c>
      <c r="B39" t="s">
        <v>14</v>
      </c>
      <c r="C39" t="s">
        <v>118</v>
      </c>
      <c r="D39" s="5">
        <v>2.50566104262536</v>
      </c>
      <c r="E39" s="5">
        <v>2.8253945623966699</v>
      </c>
      <c r="F39" s="5">
        <v>7.2238274638552102</v>
      </c>
      <c r="G39" t="s">
        <v>35</v>
      </c>
      <c r="H39" t="s">
        <v>149</v>
      </c>
    </row>
    <row r="40" spans="1:8" x14ac:dyDescent="0.25">
      <c r="A40" t="s">
        <v>150</v>
      </c>
      <c r="B40" t="s">
        <v>14</v>
      </c>
      <c r="C40" t="s">
        <v>118</v>
      </c>
      <c r="D40" s="5">
        <v>6.0867640030285903</v>
      </c>
      <c r="E40" s="5">
        <v>22.9136475365294</v>
      </c>
      <c r="F40" s="5">
        <v>15.372985718743299</v>
      </c>
      <c r="G40" t="s">
        <v>35</v>
      </c>
      <c r="H40" t="s">
        <v>151</v>
      </c>
    </row>
    <row r="41" spans="1:8" x14ac:dyDescent="0.25">
      <c r="A41" t="s">
        <v>152</v>
      </c>
      <c r="B41" t="s">
        <v>14</v>
      </c>
      <c r="C41" t="s">
        <v>118</v>
      </c>
      <c r="D41" s="5">
        <v>-12.8934686316819</v>
      </c>
      <c r="E41" s="5">
        <v>-26.560782977411499</v>
      </c>
      <c r="F41" s="5">
        <v>-18.910628584009601</v>
      </c>
      <c r="G41" t="s">
        <v>35</v>
      </c>
      <c r="H41" t="s">
        <v>153</v>
      </c>
    </row>
    <row r="42" spans="1:8" x14ac:dyDescent="0.25">
      <c r="A42" t="s">
        <v>164</v>
      </c>
      <c r="B42" t="s">
        <v>59</v>
      </c>
      <c r="C42" t="s">
        <v>102</v>
      </c>
      <c r="D42" s="6">
        <v>0.38</v>
      </c>
      <c r="E42" s="6">
        <v>0.26</v>
      </c>
      <c r="F42" s="6">
        <v>0.36</v>
      </c>
      <c r="G42" t="s">
        <v>165</v>
      </c>
      <c r="H42" t="s">
        <v>166</v>
      </c>
    </row>
    <row r="43" spans="1:8" x14ac:dyDescent="0.25">
      <c r="A43" t="s">
        <v>167</v>
      </c>
      <c r="B43" t="s">
        <v>101</v>
      </c>
      <c r="C43" t="s">
        <v>102</v>
      </c>
      <c r="D43" s="6">
        <v>6</v>
      </c>
      <c r="E43" s="6">
        <v>5</v>
      </c>
      <c r="F43" s="6">
        <v>5</v>
      </c>
      <c r="G43" t="s">
        <v>168</v>
      </c>
      <c r="H43" t="s">
        <v>59</v>
      </c>
    </row>
    <row r="44" spans="1:8" x14ac:dyDescent="0.25">
      <c r="A44" t="s">
        <v>169</v>
      </c>
      <c r="B44" t="s">
        <v>101</v>
      </c>
      <c r="C44" t="s">
        <v>102</v>
      </c>
      <c r="D44" s="6">
        <v>16</v>
      </c>
      <c r="E44" s="6">
        <v>19</v>
      </c>
      <c r="F44" s="6">
        <v>14</v>
      </c>
      <c r="G44" t="s">
        <v>168</v>
      </c>
      <c r="H44" t="s">
        <v>59</v>
      </c>
    </row>
    <row r="45" spans="1:8" x14ac:dyDescent="0.25">
      <c r="A45" t="s">
        <v>221</v>
      </c>
      <c r="B45" t="s">
        <v>14</v>
      </c>
      <c r="C45" t="s">
        <v>102</v>
      </c>
      <c r="D45" s="6">
        <v>33.33</v>
      </c>
      <c r="E45" s="6">
        <v>40</v>
      </c>
      <c r="F45" s="6">
        <v>40</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50</v>
      </c>
      <c r="E47" s="6">
        <v>40</v>
      </c>
      <c r="F47" s="6">
        <v>40</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4.7231270358306201</v>
      </c>
      <c r="E58" s="9">
        <v>4.5685279187817303</v>
      </c>
      <c r="F58" s="9">
        <v>5.2961672473867596</v>
      </c>
      <c r="G58" t="s">
        <v>59</v>
      </c>
      <c r="H58" t="s">
        <v>213</v>
      </c>
    </row>
    <row r="59" spans="1:8" x14ac:dyDescent="0.25">
      <c r="A59" t="s">
        <v>214</v>
      </c>
      <c r="B59" t="s">
        <v>14</v>
      </c>
      <c r="C59" t="s">
        <v>15</v>
      </c>
      <c r="D59" s="5">
        <v>0.162866449511401</v>
      </c>
      <c r="E59" s="5">
        <v>8.4602368866328298E-2</v>
      </c>
      <c r="F59" s="5">
        <v>2.6480836236933798</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[1]小儿外科!$O$4</f>
        <v>腹股沟疝</v>
      </c>
      <c r="E72" s="10" t="str">
        <f>[1]小儿外科!$I$4</f>
        <v>腹股沟疝</v>
      </c>
      <c r="F72" s="10" t="str">
        <f>[1]小儿外科!$C$4</f>
        <v>腹股沟疝</v>
      </c>
      <c r="G72" t="s">
        <v>59</v>
      </c>
      <c r="H72" t="s">
        <v>59</v>
      </c>
    </row>
    <row r="73" spans="1:8" x14ac:dyDescent="0.25">
      <c r="A73" t="s">
        <v>241</v>
      </c>
      <c r="B73" t="s">
        <v>59</v>
      </c>
      <c r="C73" t="s">
        <v>90</v>
      </c>
      <c r="D73" s="10" t="str">
        <f>[1]小儿外科!$N$4</f>
        <v>K40</v>
      </c>
      <c r="E73" s="10" t="str">
        <f>[1]小儿外科!$H$4</f>
        <v>K40</v>
      </c>
      <c r="F73" s="10" t="str">
        <f>[1]小儿外科!$B$4</f>
        <v>K40</v>
      </c>
      <c r="G73" t="s">
        <v>59</v>
      </c>
      <c r="H73" t="s">
        <v>59</v>
      </c>
    </row>
    <row r="74" spans="1:8" x14ac:dyDescent="0.25">
      <c r="A74" t="s">
        <v>242</v>
      </c>
      <c r="B74" t="s">
        <v>14</v>
      </c>
      <c r="C74" t="s">
        <v>90</v>
      </c>
      <c r="D74" s="10">
        <f>[1]小儿外科!$Q$4</f>
        <v>33.3061889250814</v>
      </c>
      <c r="E74" s="10">
        <f>[1]小儿外科!$K$4</f>
        <v>40.101522842639604</v>
      </c>
      <c r="F74" s="10">
        <f>[1]小儿外科!$E$4</f>
        <v>44.390243902439003</v>
      </c>
      <c r="G74" t="s">
        <v>59</v>
      </c>
      <c r="H74" t="s">
        <v>59</v>
      </c>
    </row>
    <row r="75" spans="1:8" x14ac:dyDescent="0.25">
      <c r="A75" t="s">
        <v>243</v>
      </c>
      <c r="B75" t="s">
        <v>59</v>
      </c>
      <c r="C75" t="s">
        <v>90</v>
      </c>
      <c r="D75" s="10" t="str">
        <f>[1]小儿外科!$O$5</f>
        <v>鞘膜积液</v>
      </c>
      <c r="E75" s="10" t="str">
        <f>[1]小儿外科!$I$5</f>
        <v>鞘膜积液</v>
      </c>
      <c r="F75" s="10" t="str">
        <f>[1]小儿外科!$C$5</f>
        <v>肠梗阻</v>
      </c>
      <c r="G75" t="s">
        <v>59</v>
      </c>
      <c r="H75" t="s">
        <v>59</v>
      </c>
    </row>
    <row r="76" spans="1:8" x14ac:dyDescent="0.25">
      <c r="A76" t="s">
        <v>244</v>
      </c>
      <c r="B76" t="s">
        <v>59</v>
      </c>
      <c r="C76" t="s">
        <v>90</v>
      </c>
      <c r="D76" s="10" t="str">
        <f>[1]小儿外科!$N$5</f>
        <v>N43</v>
      </c>
      <c r="E76" s="10" t="str">
        <f>[1]小儿外科!$H$5</f>
        <v>N43.3</v>
      </c>
      <c r="F76" s="10" t="str">
        <f>[1]小儿外科!$B$5</f>
        <v>K56</v>
      </c>
      <c r="G76" t="s">
        <v>59</v>
      </c>
      <c r="H76" t="s">
        <v>59</v>
      </c>
    </row>
    <row r="77" spans="1:8" x14ac:dyDescent="0.25">
      <c r="A77" t="s">
        <v>245</v>
      </c>
      <c r="B77" t="s">
        <v>14</v>
      </c>
      <c r="C77" t="s">
        <v>90</v>
      </c>
      <c r="D77" s="10">
        <f>[1]小儿外科!$Q$5</f>
        <v>16.775244299674299</v>
      </c>
      <c r="E77" s="10">
        <f>[1]小儿外科!$K$5</f>
        <v>11.590524534687001</v>
      </c>
      <c r="F77" s="10">
        <f>[1]小儿外科!$E$5</f>
        <v>8.1533101045296199</v>
      </c>
      <c r="G77" t="s">
        <v>59</v>
      </c>
      <c r="H77" t="s">
        <v>59</v>
      </c>
    </row>
    <row r="78" spans="1:8" x14ac:dyDescent="0.25">
      <c r="A78" t="s">
        <v>246</v>
      </c>
      <c r="B78" t="s">
        <v>59</v>
      </c>
      <c r="C78" t="s">
        <v>90</v>
      </c>
      <c r="D78" s="10" t="str">
        <f>[1]小儿外科!$O$6</f>
        <v>隐睾</v>
      </c>
      <c r="E78" s="10" t="str">
        <f>[1]小儿外科!$I$6</f>
        <v>隐睾</v>
      </c>
      <c r="F78" s="10" t="str">
        <f>[1]小儿外科!$C$6</f>
        <v>隐睾</v>
      </c>
      <c r="G78" t="s">
        <v>59</v>
      </c>
      <c r="H78" t="s">
        <v>59</v>
      </c>
    </row>
    <row r="79" spans="1:8" x14ac:dyDescent="0.25">
      <c r="A79" t="s">
        <v>247</v>
      </c>
      <c r="B79" t="s">
        <v>59</v>
      </c>
      <c r="C79" t="s">
        <v>90</v>
      </c>
      <c r="D79" s="10" t="str">
        <f>[1]小儿外科!$N$6</f>
        <v>Q53</v>
      </c>
      <c r="E79" s="10" t="str">
        <f>[1]小儿外科!$H$6</f>
        <v>Q53</v>
      </c>
      <c r="F79" s="10" t="str">
        <f>[1]小儿外科!$B$6</f>
        <v>Q53</v>
      </c>
      <c r="G79" t="s">
        <v>59</v>
      </c>
      <c r="H79" t="s">
        <v>59</v>
      </c>
    </row>
    <row r="80" spans="1:8" x14ac:dyDescent="0.25">
      <c r="A80" t="s">
        <v>248</v>
      </c>
      <c r="B80" t="s">
        <v>14</v>
      </c>
      <c r="C80" t="s">
        <v>90</v>
      </c>
      <c r="D80" s="10">
        <f>[1]小儿外科!$Q$6</f>
        <v>8.5504885993485296</v>
      </c>
      <c r="E80" s="10">
        <f>[1]小儿外科!$K$6</f>
        <v>6.0067681895093097</v>
      </c>
      <c r="F80" s="10">
        <f>[1]小儿外科!$E$6</f>
        <v>6.2717770034843197</v>
      </c>
      <c r="G80" t="s">
        <v>59</v>
      </c>
      <c r="H80" t="s">
        <v>59</v>
      </c>
    </row>
    <row r="81" spans="1:8" x14ac:dyDescent="0.25">
      <c r="A81" t="s">
        <v>249</v>
      </c>
      <c r="B81" t="s">
        <v>59</v>
      </c>
      <c r="C81" t="s">
        <v>90</v>
      </c>
      <c r="D81" s="10" t="str">
        <f>[1]小儿外科!$O$7</f>
        <v>隐匿性阴茎</v>
      </c>
      <c r="E81" s="10" t="str">
        <f>[1]小儿外科!$I$7</f>
        <v>肠梗阻</v>
      </c>
      <c r="F81" s="10" t="str">
        <f>[1]小儿外科!$C$7</f>
        <v>隐匿性阴茎</v>
      </c>
      <c r="G81" t="s">
        <v>59</v>
      </c>
      <c r="H81" t="s">
        <v>59</v>
      </c>
    </row>
    <row r="82" spans="1:8" x14ac:dyDescent="0.25">
      <c r="A82" t="s">
        <v>250</v>
      </c>
      <c r="B82" t="s">
        <v>59</v>
      </c>
      <c r="C82" t="s">
        <v>90</v>
      </c>
      <c r="D82" s="10" t="str">
        <f>[1]小儿外科!$N$7</f>
        <v>Q55.6</v>
      </c>
      <c r="E82" s="10" t="str">
        <f>[1]小儿外科!$H$7</f>
        <v>K56</v>
      </c>
      <c r="F82" s="10" t="str">
        <f>[1]小儿外科!$B$7</f>
        <v>Q55.6</v>
      </c>
      <c r="G82" t="s">
        <v>59</v>
      </c>
      <c r="H82" t="s">
        <v>59</v>
      </c>
    </row>
    <row r="83" spans="1:8" x14ac:dyDescent="0.25">
      <c r="A83" t="s">
        <v>251</v>
      </c>
      <c r="B83" t="s">
        <v>14</v>
      </c>
      <c r="C83" t="s">
        <v>90</v>
      </c>
      <c r="D83" s="10">
        <f>[1]小儿外科!$Q$7</f>
        <v>6.5146579804560298</v>
      </c>
      <c r="E83" s="10">
        <f>[1]小儿外科!$K$7</f>
        <v>4.8223350253807098</v>
      </c>
      <c r="F83" s="10">
        <f>[1]小儿外科!$E$7</f>
        <v>4.94773519163763</v>
      </c>
      <c r="G83" t="s">
        <v>59</v>
      </c>
      <c r="H83" t="s">
        <v>59</v>
      </c>
    </row>
    <row r="84" spans="1:8" x14ac:dyDescent="0.25">
      <c r="A84" t="s">
        <v>252</v>
      </c>
      <c r="B84" t="s">
        <v>59</v>
      </c>
      <c r="C84" t="s">
        <v>90</v>
      </c>
      <c r="D84" s="10" t="str">
        <f>[1]小儿外科!$O$8</f>
        <v>肠梗阻</v>
      </c>
      <c r="E84" s="10" t="str">
        <f>[1]小儿外科!$I$8</f>
        <v>隐匿性阴茎</v>
      </c>
      <c r="F84" s="10" t="str">
        <f>[1]小儿外科!$C$8</f>
        <v>鞘膜积液</v>
      </c>
      <c r="G84" t="s">
        <v>59</v>
      </c>
      <c r="H84" t="s">
        <v>59</v>
      </c>
    </row>
    <row r="85" spans="1:8" x14ac:dyDescent="0.25">
      <c r="A85" t="s">
        <v>253</v>
      </c>
      <c r="B85" t="s">
        <v>59</v>
      </c>
      <c r="C85" t="s">
        <v>90</v>
      </c>
      <c r="D85" s="10" t="str">
        <f>[1]小儿外科!$N$8</f>
        <v>K56</v>
      </c>
      <c r="E85" s="10" t="str">
        <f>[1]小儿外科!$H$8</f>
        <v>Q55.6</v>
      </c>
      <c r="F85" s="10" t="str">
        <f>[1]小儿外科!$B$8</f>
        <v>N43</v>
      </c>
      <c r="G85" t="s">
        <v>59</v>
      </c>
      <c r="H85" t="s">
        <v>59</v>
      </c>
    </row>
    <row r="86" spans="1:8" x14ac:dyDescent="0.25">
      <c r="A86" t="s">
        <v>254</v>
      </c>
      <c r="B86" t="s">
        <v>14</v>
      </c>
      <c r="C86" t="s">
        <v>90</v>
      </c>
      <c r="D86" s="10">
        <f>[1]小儿外科!$Q$8</f>
        <v>5.6188925081433201</v>
      </c>
      <c r="E86" s="10">
        <f>[1]小儿外科!$K$8</f>
        <v>4.3147208121827401</v>
      </c>
      <c r="F86" s="10">
        <f>[1]小儿外科!$E$8</f>
        <v>3.7630662020905898</v>
      </c>
      <c r="G86" t="s">
        <v>59</v>
      </c>
      <c r="H86" t="s">
        <v>59</v>
      </c>
    </row>
    <row r="87" spans="1:8" x14ac:dyDescent="0.25">
      <c r="A87" t="s">
        <v>255</v>
      </c>
      <c r="B87" t="s">
        <v>59</v>
      </c>
      <c r="C87" t="s">
        <v>90</v>
      </c>
      <c r="D87" s="22" t="str">
        <f>[2]小儿外科!$O$4</f>
        <v>腹腔镜下单侧腹股沟斜疝修补术</v>
      </c>
      <c r="E87" s="22" t="str">
        <f>[2]小儿外科!$I$4</f>
        <v>腹股沟斜疝修补术，单侧，经腹腔镜</v>
      </c>
      <c r="F87" s="22" t="str">
        <f>[2]小儿外科!$C$4</f>
        <v>腹股沟斜疝修补术，单侧，经腹腔镜</v>
      </c>
      <c r="G87" t="s">
        <v>59</v>
      </c>
      <c r="H87" t="s">
        <v>59</v>
      </c>
    </row>
    <row r="88" spans="1:8" x14ac:dyDescent="0.25">
      <c r="A88" t="s">
        <v>256</v>
      </c>
      <c r="B88" t="s">
        <v>59</v>
      </c>
      <c r="C88" t="s">
        <v>90</v>
      </c>
      <c r="D88" s="23">
        <f>[2]小儿外科!$N$4</f>
        <v>53.02</v>
      </c>
      <c r="E88" s="23">
        <f>[2]小儿外科!$H$4</f>
        <v>53.02</v>
      </c>
      <c r="F88" s="23">
        <f>[2]小儿外科!$B$4</f>
        <v>53.02</v>
      </c>
      <c r="G88" t="s">
        <v>59</v>
      </c>
      <c r="H88" t="s">
        <v>59</v>
      </c>
    </row>
    <row r="89" spans="1:8" x14ac:dyDescent="0.25">
      <c r="A89" t="s">
        <v>257</v>
      </c>
      <c r="B89" t="s">
        <v>14</v>
      </c>
      <c r="C89" t="s">
        <v>90</v>
      </c>
      <c r="D89" s="24">
        <f>[2]小儿外科!$Q$4</f>
        <v>19.673704414587299</v>
      </c>
      <c r="E89" s="24">
        <f>[2]小儿外科!$K$4</f>
        <v>25.693730729702001</v>
      </c>
      <c r="F89" s="24">
        <f>[2]小儿外科!$E$4</f>
        <v>31.5028901734104</v>
      </c>
      <c r="G89" t="s">
        <v>59</v>
      </c>
      <c r="H89" t="s">
        <v>59</v>
      </c>
    </row>
    <row r="90" spans="1:8" x14ac:dyDescent="0.25">
      <c r="A90" t="s">
        <v>258</v>
      </c>
      <c r="B90" t="s">
        <v>59</v>
      </c>
      <c r="C90" t="s">
        <v>90</v>
      </c>
      <c r="D90" s="25" t="str">
        <f>[2]小儿外科!$O$5</f>
        <v>腹腔镜下鞘状突高位结扎术</v>
      </c>
      <c r="E90" s="25" t="str">
        <f>[2]小儿外科!$I$5</f>
        <v>腹股沟斜疝修补术，双侧，经腹腔镜</v>
      </c>
      <c r="F90" s="25" t="str">
        <f>[2]小儿外科!$C$5</f>
        <v>腹股沟斜疝修补术，双侧，经腹腔镜</v>
      </c>
      <c r="G90" t="s">
        <v>59</v>
      </c>
      <c r="H90" t="s">
        <v>59</v>
      </c>
    </row>
    <row r="91" spans="1:8" x14ac:dyDescent="0.25">
      <c r="A91" t="s">
        <v>259</v>
      </c>
      <c r="B91" t="s">
        <v>59</v>
      </c>
      <c r="C91" t="s">
        <v>90</v>
      </c>
      <c r="D91" s="26">
        <f>[2]小儿外科!$N$5</f>
        <v>61.49</v>
      </c>
      <c r="E91" s="26">
        <f>[2]小儿外科!$H$5</f>
        <v>53.12</v>
      </c>
      <c r="F91" s="26">
        <f>[2]小儿外科!$B$5</f>
        <v>53.12</v>
      </c>
      <c r="G91" t="s">
        <v>59</v>
      </c>
      <c r="H91" t="s">
        <v>59</v>
      </c>
    </row>
    <row r="92" spans="1:8" x14ac:dyDescent="0.25">
      <c r="A92" t="s">
        <v>260</v>
      </c>
      <c r="B92" t="s">
        <v>14</v>
      </c>
      <c r="C92" t="s">
        <v>90</v>
      </c>
      <c r="D92" s="24">
        <f>[2]小儿外科!$Q$5</f>
        <v>19.673704414587299</v>
      </c>
      <c r="E92" s="24">
        <f>[2]小儿外科!$K$5</f>
        <v>21.6855087358684</v>
      </c>
      <c r="F92" s="24">
        <f>[2]小儿外科!$E$5</f>
        <v>20.8092485549133</v>
      </c>
      <c r="G92" t="s">
        <v>59</v>
      </c>
      <c r="H92" t="s">
        <v>59</v>
      </c>
    </row>
    <row r="93" spans="1:8" x14ac:dyDescent="0.25">
      <c r="A93" t="s">
        <v>261</v>
      </c>
      <c r="B93" t="s">
        <v>59</v>
      </c>
      <c r="C93" t="s">
        <v>90</v>
      </c>
      <c r="D93" s="27" t="str">
        <f>[2]小儿外科!$O$6</f>
        <v>腹腔镜下双侧腹股沟斜疝修补术</v>
      </c>
      <c r="E93" s="27" t="str">
        <f>[2]小儿外科!$I$6</f>
        <v>睾丸固定术，经腹腔镜</v>
      </c>
      <c r="F93" s="27" t="str">
        <f>[2]小儿外科!$C$6</f>
        <v>隐匿型阴茎矫治术</v>
      </c>
      <c r="G93" t="s">
        <v>59</v>
      </c>
      <c r="H93" t="s">
        <v>59</v>
      </c>
    </row>
    <row r="94" spans="1:8" x14ac:dyDescent="0.25">
      <c r="A94" t="s">
        <v>262</v>
      </c>
      <c r="B94" t="s">
        <v>59</v>
      </c>
      <c r="C94" t="s">
        <v>90</v>
      </c>
      <c r="D94" s="28">
        <f>[2]小儿外科!$N$6</f>
        <v>53.12</v>
      </c>
      <c r="E94" s="28">
        <f>[2]小儿外科!$H$6</f>
        <v>62.5</v>
      </c>
      <c r="F94" s="28">
        <f>[2]小儿外科!$B$6</f>
        <v>64.489999999999995</v>
      </c>
      <c r="G94" t="s">
        <v>59</v>
      </c>
      <c r="H94" t="s">
        <v>59</v>
      </c>
    </row>
    <row r="95" spans="1:8" x14ac:dyDescent="0.25">
      <c r="A95" t="s">
        <v>263</v>
      </c>
      <c r="B95" t="s">
        <v>14</v>
      </c>
      <c r="C95" t="s">
        <v>90</v>
      </c>
      <c r="D95" s="24">
        <f>[2]小儿外科!$Q$6</f>
        <v>19.481765834932801</v>
      </c>
      <c r="E95" s="24">
        <f>[2]小儿外科!$K$6</f>
        <v>7.70811921891059</v>
      </c>
      <c r="F95" s="24">
        <f>[2]小儿外科!$E$6</f>
        <v>6.7437379576107901</v>
      </c>
      <c r="G95" t="s">
        <v>59</v>
      </c>
      <c r="H95" t="s">
        <v>59</v>
      </c>
    </row>
    <row r="96" spans="1:8" x14ac:dyDescent="0.25">
      <c r="A96" t="s">
        <v>264</v>
      </c>
      <c r="B96" t="s">
        <v>59</v>
      </c>
      <c r="C96" t="s">
        <v>90</v>
      </c>
      <c r="D96" s="24" t="str">
        <f>[2]小儿外科!$O$7</f>
        <v>腹腔镜睾丸固定术</v>
      </c>
      <c r="E96" s="24" t="str">
        <f>[2]小儿外科!$I$7</f>
        <v>隐匿型阴茎矫治术</v>
      </c>
      <c r="F96" s="24" t="str">
        <f>[2]小儿外科!$C$7</f>
        <v>睾丸固定术，经腹腔镜</v>
      </c>
      <c r="G96" t="s">
        <v>59</v>
      </c>
      <c r="H96" t="s">
        <v>59</v>
      </c>
    </row>
    <row r="97" spans="1:8" x14ac:dyDescent="0.25">
      <c r="A97" t="s">
        <v>265</v>
      </c>
      <c r="B97" t="s">
        <v>59</v>
      </c>
      <c r="C97" t="s">
        <v>90</v>
      </c>
      <c r="D97" s="25" t="str">
        <f>[2]小儿外科!$N$7</f>
        <v>62.5x</v>
      </c>
      <c r="E97" s="25">
        <f>[2]小儿外科!$H$7</f>
        <v>64.489999999999995</v>
      </c>
      <c r="F97" s="25" t="str">
        <f>[2]小儿外科!$B$7</f>
        <v>62.5</v>
      </c>
      <c r="G97" t="s">
        <v>59</v>
      </c>
      <c r="H97" t="s">
        <v>59</v>
      </c>
    </row>
    <row r="98" spans="1:8" x14ac:dyDescent="0.25">
      <c r="A98" t="s">
        <v>266</v>
      </c>
      <c r="B98" t="s">
        <v>14</v>
      </c>
      <c r="C98" t="s">
        <v>90</v>
      </c>
      <c r="D98" s="26">
        <f>[2]小儿外科!$Q$7</f>
        <v>9.6928982725527799</v>
      </c>
      <c r="E98" s="26">
        <f>[2]小儿外科!$K$7</f>
        <v>5.3442959917780097</v>
      </c>
      <c r="F98" s="26">
        <f>[2]小儿外科!$E$7</f>
        <v>8.0924855491329506</v>
      </c>
      <c r="G98" t="s">
        <v>59</v>
      </c>
      <c r="H98" t="s">
        <v>59</v>
      </c>
    </row>
    <row r="99" spans="1:8" x14ac:dyDescent="0.25">
      <c r="A99" t="s">
        <v>267</v>
      </c>
      <c r="B99" t="s">
        <v>59</v>
      </c>
      <c r="C99" t="s">
        <v>90</v>
      </c>
      <c r="D99" s="24" t="str">
        <f>[2]小儿外科!$O$8</f>
        <v>阴茎延长术</v>
      </c>
      <c r="E99" s="24" t="str">
        <f>[2]小儿外科!$I$8</f>
        <v>阑尾切除术，经腹腔镜</v>
      </c>
      <c r="F99" s="24" t="str">
        <f>[2]小儿外科!$C$8</f>
        <v>鞘状突高位结扎术，经腹腔镜</v>
      </c>
      <c r="G99" t="s">
        <v>59</v>
      </c>
      <c r="H99" t="s">
        <v>59</v>
      </c>
    </row>
    <row r="100" spans="1:8" x14ac:dyDescent="0.25">
      <c r="A100" t="s">
        <v>268</v>
      </c>
      <c r="B100" t="s">
        <v>59</v>
      </c>
      <c r="C100" t="s">
        <v>90</v>
      </c>
      <c r="D100" s="10">
        <f>[2]小儿外科!$N$8</f>
        <v>64.489999999999995</v>
      </c>
      <c r="E100" s="10">
        <f>[2]小儿外科!$H$8</f>
        <v>47.01</v>
      </c>
      <c r="F100" s="10" t="str">
        <f>[2]小儿外科!$B$8</f>
        <v>61.2</v>
      </c>
      <c r="G100" t="s">
        <v>59</v>
      </c>
      <c r="H100" t="s">
        <v>59</v>
      </c>
    </row>
    <row r="101" spans="1:8" x14ac:dyDescent="0.25">
      <c r="A101" t="s">
        <v>269</v>
      </c>
      <c r="B101" t="s">
        <v>14</v>
      </c>
      <c r="C101" t="s">
        <v>90</v>
      </c>
      <c r="D101" s="10">
        <f>[2]小儿外科!$Q$8</f>
        <v>8.2533589251439494</v>
      </c>
      <c r="E101" s="10">
        <f>[2]小儿外科!$K$8</f>
        <v>1.7471736896197301</v>
      </c>
      <c r="F101" s="10">
        <f>[2]小儿外科!$E$8</f>
        <v>4.3352601156069399</v>
      </c>
      <c r="G101" t="s">
        <v>59</v>
      </c>
      <c r="H101" t="s">
        <v>59</v>
      </c>
    </row>
  </sheetData>
  <phoneticPr fontId="10" type="noConversion"/>
  <conditionalFormatting sqref="D88">
    <cfRule type="duplicateValues" dxfId="11" priority="12"/>
  </conditionalFormatting>
  <conditionalFormatting sqref="E88">
    <cfRule type="duplicateValues" dxfId="10" priority="4"/>
  </conditionalFormatting>
  <conditionalFormatting sqref="F88">
    <cfRule type="duplicateValues" dxfId="9" priority="8"/>
  </conditionalFormatting>
  <conditionalFormatting sqref="D91">
    <cfRule type="duplicateValues" dxfId="8" priority="11"/>
  </conditionalFormatting>
  <conditionalFormatting sqref="E91">
    <cfRule type="duplicateValues" dxfId="7" priority="3"/>
  </conditionalFormatting>
  <conditionalFormatting sqref="F91">
    <cfRule type="duplicateValues" dxfId="6" priority="7"/>
  </conditionalFormatting>
  <conditionalFormatting sqref="D94">
    <cfRule type="duplicateValues" dxfId="5" priority="9"/>
  </conditionalFormatting>
  <conditionalFormatting sqref="E94">
    <cfRule type="duplicateValues" dxfId="4" priority="1"/>
  </conditionalFormatting>
  <conditionalFormatting sqref="F94">
    <cfRule type="duplicateValues" dxfId="3" priority="5"/>
  </conditionalFormatting>
  <conditionalFormatting sqref="D98">
    <cfRule type="duplicateValues" dxfId="2" priority="10"/>
  </conditionalFormatting>
  <conditionalFormatting sqref="E98">
    <cfRule type="duplicateValues" dxfId="1" priority="2"/>
  </conditionalFormatting>
  <conditionalFormatting sqref="F98">
    <cfRule type="duplicateValues" dxfId="0" priority="6"/>
  </conditionalFormatting>
  <pageMargins left="0.69930555555555596" right="0.69930555555555596" top="0.75" bottom="0.75" header="0.3" footer="0.3"/>
  <ignoredErrors>
    <ignoredError sqref="A2:B31 G2:H31 G34:H101 A34:B101 A1:H1" numberStoredAsText="1"/>
  </ignoredError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101"/>
  <sheetViews>
    <sheetView topLeftCell="A22"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0.41373603640877099</v>
      </c>
      <c r="E2" s="5">
        <v>0.20942408376963401</v>
      </c>
      <c r="F2" s="5">
        <v>0.31413612565444998</v>
      </c>
      <c r="G2" t="s">
        <v>16</v>
      </c>
      <c r="H2" t="s">
        <v>17</v>
      </c>
    </row>
    <row r="3" spans="1:8" x14ac:dyDescent="0.25">
      <c r="A3" t="s">
        <v>18</v>
      </c>
      <c r="B3" t="s">
        <v>14</v>
      </c>
      <c r="C3" t="s">
        <v>15</v>
      </c>
      <c r="D3" s="6">
        <v>0</v>
      </c>
      <c r="E3" s="6">
        <v>0</v>
      </c>
      <c r="F3" s="6">
        <v>0</v>
      </c>
      <c r="G3" t="s">
        <v>19</v>
      </c>
      <c r="H3" t="s">
        <v>20</v>
      </c>
    </row>
    <row r="4" spans="1:8" x14ac:dyDescent="0.25">
      <c r="A4" t="s">
        <v>21</v>
      </c>
      <c r="B4" t="s">
        <v>14</v>
      </c>
      <c r="C4" t="s">
        <v>15</v>
      </c>
      <c r="D4" s="6">
        <v>0</v>
      </c>
      <c r="E4" s="6">
        <v>0</v>
      </c>
      <c r="F4" s="6">
        <v>0</v>
      </c>
      <c r="G4" t="s">
        <v>22</v>
      </c>
      <c r="H4" t="s">
        <v>23</v>
      </c>
    </row>
    <row r="5" spans="1:8" x14ac:dyDescent="0.25">
      <c r="A5" t="s">
        <v>24</v>
      </c>
      <c r="B5" t="s">
        <v>14</v>
      </c>
      <c r="C5" t="s">
        <v>15</v>
      </c>
      <c r="D5" s="6">
        <v>93.01</v>
      </c>
      <c r="E5" s="6">
        <v>90.47</v>
      </c>
      <c r="F5" s="6">
        <v>86.13</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0.25</v>
      </c>
      <c r="E10" s="6">
        <v>0.42</v>
      </c>
      <c r="F10" s="6">
        <v>0.42</v>
      </c>
      <c r="G10" t="s">
        <v>58</v>
      </c>
      <c r="H10" t="s">
        <v>59</v>
      </c>
    </row>
    <row r="11" spans="1:8" x14ac:dyDescent="0.25">
      <c r="A11" t="s">
        <v>63</v>
      </c>
      <c r="B11" t="s">
        <v>64</v>
      </c>
      <c r="C11" t="s">
        <v>61</v>
      </c>
      <c r="D11" s="5">
        <v>9.0906744642081705</v>
      </c>
      <c r="E11" s="5">
        <v>9.1029196859441495</v>
      </c>
      <c r="F11" s="5">
        <v>14.8567637793822</v>
      </c>
      <c r="G11" t="s">
        <v>35</v>
      </c>
      <c r="H11" t="s">
        <v>65</v>
      </c>
    </row>
    <row r="12" spans="1:8" x14ac:dyDescent="0.25">
      <c r="A12" t="s">
        <v>66</v>
      </c>
      <c r="B12" t="s">
        <v>14</v>
      </c>
      <c r="C12" t="s">
        <v>61</v>
      </c>
      <c r="D12" s="6">
        <v>13.64</v>
      </c>
      <c r="E12" s="6">
        <v>8.1999999999999993</v>
      </c>
      <c r="F12" s="6">
        <v>7.7</v>
      </c>
      <c r="G12" t="s">
        <v>39</v>
      </c>
      <c r="H12" t="s">
        <v>67</v>
      </c>
    </row>
    <row r="13" spans="1:8" x14ac:dyDescent="0.25">
      <c r="A13" t="s">
        <v>68</v>
      </c>
      <c r="B13" t="s">
        <v>14</v>
      </c>
      <c r="C13" t="s">
        <v>61</v>
      </c>
      <c r="D13" s="6">
        <v>96.46</v>
      </c>
      <c r="E13" s="6">
        <v>94.96</v>
      </c>
      <c r="F13" s="6">
        <v>92.13</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7.27</v>
      </c>
      <c r="E15" s="6">
        <v>7.73</v>
      </c>
      <c r="F15" s="6">
        <v>8.5299999999999994</v>
      </c>
      <c r="G15" t="s">
        <v>93</v>
      </c>
      <c r="H15" t="s">
        <v>94</v>
      </c>
    </row>
    <row r="16" spans="1:8" x14ac:dyDescent="0.25">
      <c r="A16" t="s">
        <v>95</v>
      </c>
      <c r="B16" t="s">
        <v>59</v>
      </c>
      <c r="C16" t="s">
        <v>34</v>
      </c>
      <c r="D16" s="6">
        <v>0.72</v>
      </c>
      <c r="E16" s="6">
        <v>0.65</v>
      </c>
      <c r="F16" s="6">
        <v>0.7</v>
      </c>
      <c r="G16" t="s">
        <v>96</v>
      </c>
      <c r="H16" t="s">
        <v>59</v>
      </c>
    </row>
    <row r="17" spans="1:8" x14ac:dyDescent="0.25">
      <c r="A17" t="s">
        <v>97</v>
      </c>
      <c r="B17" t="s">
        <v>98</v>
      </c>
      <c r="C17" t="s">
        <v>34</v>
      </c>
      <c r="D17" s="6">
        <v>158</v>
      </c>
      <c r="E17" s="6">
        <v>137</v>
      </c>
      <c r="F17" s="6">
        <v>167</v>
      </c>
      <c r="G17" t="s">
        <v>99</v>
      </c>
      <c r="H17" t="s">
        <v>59</v>
      </c>
    </row>
    <row r="18" spans="1:8" x14ac:dyDescent="0.25">
      <c r="A18" t="s">
        <v>104</v>
      </c>
      <c r="B18" t="s">
        <v>105</v>
      </c>
      <c r="C18" t="s">
        <v>15</v>
      </c>
      <c r="D18" s="6">
        <v>40</v>
      </c>
      <c r="E18" s="6">
        <v>40</v>
      </c>
      <c r="F18" s="6">
        <v>40</v>
      </c>
      <c r="G18" t="s">
        <v>58</v>
      </c>
      <c r="H18" t="s">
        <v>59</v>
      </c>
    </row>
    <row r="19" spans="1:8" x14ac:dyDescent="0.25">
      <c r="A19" t="s">
        <v>106</v>
      </c>
      <c r="B19" t="s">
        <v>105</v>
      </c>
      <c r="C19" t="s">
        <v>15</v>
      </c>
      <c r="D19" s="6">
        <v>46</v>
      </c>
      <c r="E19" s="6">
        <v>40</v>
      </c>
      <c r="F19" s="6">
        <v>50</v>
      </c>
      <c r="G19" t="s">
        <v>58</v>
      </c>
      <c r="H19" t="s">
        <v>59</v>
      </c>
    </row>
    <row r="20" spans="1:8" x14ac:dyDescent="0.25">
      <c r="A20" t="s">
        <v>107</v>
      </c>
      <c r="B20" t="s">
        <v>14</v>
      </c>
      <c r="C20" t="s">
        <v>15</v>
      </c>
      <c r="D20" s="6">
        <v>113.42</v>
      </c>
      <c r="E20" s="6">
        <v>88.88</v>
      </c>
      <c r="F20" s="6">
        <v>90.2</v>
      </c>
      <c r="G20" t="s">
        <v>58</v>
      </c>
      <c r="H20" t="s">
        <v>108</v>
      </c>
    </row>
    <row r="21" spans="1:8" x14ac:dyDescent="0.25">
      <c r="A21" t="s">
        <v>112</v>
      </c>
      <c r="B21" t="s">
        <v>59</v>
      </c>
      <c r="C21" t="s">
        <v>102</v>
      </c>
      <c r="D21" s="5">
        <f t="shared" ref="D21:F21" si="0">D43/D19</f>
        <v>0.21739130434782608</v>
      </c>
      <c r="E21" s="5">
        <f t="shared" si="0"/>
        <v>0.2</v>
      </c>
      <c r="F21" s="5">
        <f t="shared" si="0"/>
        <v>0.16</v>
      </c>
      <c r="G21" t="s">
        <v>110</v>
      </c>
      <c r="H21" t="s">
        <v>113</v>
      </c>
    </row>
    <row r="22" spans="1:8" x14ac:dyDescent="0.25">
      <c r="A22" t="s">
        <v>114</v>
      </c>
      <c r="B22" t="s">
        <v>59</v>
      </c>
      <c r="C22" t="s">
        <v>102</v>
      </c>
      <c r="D22" s="5">
        <f t="shared" ref="D22:F22" si="1">D44/D19</f>
        <v>0.39130434782608697</v>
      </c>
      <c r="E22" s="5">
        <f t="shared" si="1"/>
        <v>0.42499999999999999</v>
      </c>
      <c r="F22" s="5">
        <f t="shared" si="1"/>
        <v>0.32</v>
      </c>
      <c r="G22" t="s">
        <v>110</v>
      </c>
      <c r="H22" t="s">
        <v>115</v>
      </c>
    </row>
    <row r="23" spans="1:8" x14ac:dyDescent="0.25">
      <c r="A23" t="s">
        <v>116</v>
      </c>
      <c r="B23" t="s">
        <v>117</v>
      </c>
      <c r="C23" t="s">
        <v>118</v>
      </c>
      <c r="D23" s="5">
        <v>21.711695766666701</v>
      </c>
      <c r="E23" s="5">
        <v>17.699685777777798</v>
      </c>
      <c r="F23" s="5">
        <v>16.479674592592598</v>
      </c>
      <c r="G23" t="s">
        <v>119</v>
      </c>
      <c r="H23" t="s">
        <v>59</v>
      </c>
    </row>
    <row r="24" spans="1:8" x14ac:dyDescent="0.25">
      <c r="A24" t="s">
        <v>120</v>
      </c>
      <c r="B24" t="s">
        <v>117</v>
      </c>
      <c r="C24" t="s">
        <v>118</v>
      </c>
      <c r="D24" s="5">
        <v>46.739846266666703</v>
      </c>
      <c r="E24" s="5">
        <v>37.883462518518499</v>
      </c>
      <c r="F24" s="5">
        <v>34.917144407407399</v>
      </c>
      <c r="G24" t="s">
        <v>121</v>
      </c>
      <c r="H24" t="s">
        <v>59</v>
      </c>
    </row>
    <row r="25" spans="1:8" x14ac:dyDescent="0.25">
      <c r="A25" t="s">
        <v>122</v>
      </c>
      <c r="B25" t="s">
        <v>117</v>
      </c>
      <c r="C25" t="s">
        <v>118</v>
      </c>
      <c r="D25" s="5">
        <v>14.793342561889601</v>
      </c>
      <c r="E25" s="5">
        <v>10.429758096900899</v>
      </c>
      <c r="F25" s="5">
        <v>8.8990242800000008</v>
      </c>
      <c r="G25" t="s">
        <v>123</v>
      </c>
      <c r="H25" t="s">
        <v>59</v>
      </c>
    </row>
    <row r="26" spans="1:8" x14ac:dyDescent="0.25">
      <c r="A26" t="s">
        <v>124</v>
      </c>
      <c r="B26" t="s">
        <v>117</v>
      </c>
      <c r="C26" t="s">
        <v>118</v>
      </c>
      <c r="D26" s="5">
        <v>31.846363570293001</v>
      </c>
      <c r="E26" s="5">
        <v>22.323297424705402</v>
      </c>
      <c r="F26" s="5">
        <v>18.855257980000001</v>
      </c>
      <c r="G26" t="s">
        <v>125</v>
      </c>
      <c r="H26" t="s">
        <v>59</v>
      </c>
    </row>
    <row r="27" spans="1:8" x14ac:dyDescent="0.25">
      <c r="A27" t="s">
        <v>126</v>
      </c>
      <c r="B27" t="s">
        <v>127</v>
      </c>
      <c r="C27" t="s">
        <v>118</v>
      </c>
      <c r="D27" s="5">
        <v>4.9934246575342502</v>
      </c>
      <c r="E27" s="5">
        <v>5.1047945205479497</v>
      </c>
      <c r="F27" s="5">
        <v>5.63767123287671</v>
      </c>
      <c r="G27" t="s">
        <v>39</v>
      </c>
      <c r="H27" t="s">
        <v>128</v>
      </c>
    </row>
    <row r="28" spans="1:8" x14ac:dyDescent="0.25">
      <c r="A28" t="s">
        <v>129</v>
      </c>
      <c r="B28" t="s">
        <v>14</v>
      </c>
      <c r="C28" t="s">
        <v>118</v>
      </c>
      <c r="D28" s="5">
        <v>28.344291791479701</v>
      </c>
      <c r="E28" s="5">
        <v>28.0631117738886</v>
      </c>
      <c r="F28" s="5">
        <v>25.7640804316508</v>
      </c>
      <c r="G28" t="s">
        <v>130</v>
      </c>
      <c r="H28" t="s">
        <v>131</v>
      </c>
    </row>
    <row r="29" spans="1:8" x14ac:dyDescent="0.25">
      <c r="A29" t="s">
        <v>132</v>
      </c>
      <c r="B29" t="s">
        <v>117</v>
      </c>
      <c r="C29" t="s">
        <v>118</v>
      </c>
      <c r="D29" s="5">
        <v>2297.9966399999998</v>
      </c>
      <c r="E29" s="5">
        <v>1702.9170529999999</v>
      </c>
      <c r="F29" s="5">
        <v>1727.021522</v>
      </c>
      <c r="G29" t="s">
        <v>59</v>
      </c>
      <c r="H29" t="s">
        <v>133</v>
      </c>
    </row>
    <row r="30" spans="1:8" x14ac:dyDescent="0.25">
      <c r="A30" t="s">
        <v>134</v>
      </c>
      <c r="B30" t="s">
        <v>117</v>
      </c>
      <c r="C30" t="s">
        <v>118</v>
      </c>
      <c r="D30" s="5">
        <v>651.35087299999998</v>
      </c>
      <c r="E30" s="5">
        <v>477.89151600000002</v>
      </c>
      <c r="F30" s="5">
        <v>444.95121399999999</v>
      </c>
      <c r="G30" t="s">
        <v>59</v>
      </c>
      <c r="H30" t="s">
        <v>59</v>
      </c>
    </row>
    <row r="31" spans="1:8" x14ac:dyDescent="0.25">
      <c r="A31" t="s">
        <v>135</v>
      </c>
      <c r="B31" t="s">
        <v>117</v>
      </c>
      <c r="C31" t="s">
        <v>118</v>
      </c>
      <c r="D31" s="5">
        <v>1402.1953880000001</v>
      </c>
      <c r="E31" s="5">
        <v>1022.853488</v>
      </c>
      <c r="F31" s="5">
        <v>942.76289899999995</v>
      </c>
      <c r="G31" t="s">
        <v>59</v>
      </c>
      <c r="H31" t="s">
        <v>136</v>
      </c>
    </row>
    <row r="32" spans="1:8" x14ac:dyDescent="0.25">
      <c r="A32" t="s">
        <v>216</v>
      </c>
      <c r="B32" t="s">
        <v>117</v>
      </c>
      <c r="D32" s="17">
        <v>1524.37</v>
      </c>
      <c r="E32" s="17">
        <v>1154.57</v>
      </c>
      <c r="F32" s="17">
        <v>1293.3699999999999</v>
      </c>
    </row>
    <row r="33" spans="1:8" x14ac:dyDescent="0.25">
      <c r="A33" t="s">
        <v>143</v>
      </c>
      <c r="B33" t="s">
        <v>14</v>
      </c>
      <c r="D33" s="15">
        <v>-18.93</v>
      </c>
      <c r="E33" s="15">
        <v>-11.26</v>
      </c>
      <c r="F33" s="15">
        <v>-5.24</v>
      </c>
    </row>
    <row r="34" spans="1:8" x14ac:dyDescent="0.25">
      <c r="A34" t="s">
        <v>137</v>
      </c>
      <c r="B34" t="s">
        <v>138</v>
      </c>
      <c r="C34" t="s">
        <v>139</v>
      </c>
      <c r="D34" s="6"/>
      <c r="E34" s="6"/>
      <c r="F34" s="6"/>
      <c r="G34" t="s">
        <v>35</v>
      </c>
      <c r="H34" t="s">
        <v>140</v>
      </c>
    </row>
    <row r="35" spans="1:8" x14ac:dyDescent="0.25">
      <c r="A35" t="s">
        <v>217</v>
      </c>
      <c r="B35" t="s">
        <v>14</v>
      </c>
      <c r="C35" t="s">
        <v>118</v>
      </c>
      <c r="D35" s="5">
        <v>40.371861074609797</v>
      </c>
      <c r="E35" s="5">
        <v>39.782710426589396</v>
      </c>
      <c r="F35" s="5">
        <v>42.6189552141551</v>
      </c>
      <c r="G35" t="s">
        <v>22</v>
      </c>
      <c r="H35" t="s">
        <v>218</v>
      </c>
    </row>
    <row r="36" spans="1:8" x14ac:dyDescent="0.25">
      <c r="A36" t="s">
        <v>219</v>
      </c>
      <c r="B36" t="s">
        <v>14</v>
      </c>
      <c r="C36" t="s">
        <v>118</v>
      </c>
      <c r="D36" s="5">
        <v>59.628138925390303</v>
      </c>
      <c r="E36" s="5">
        <v>60.217289573410604</v>
      </c>
      <c r="F36" s="5">
        <v>57.3810447858449</v>
      </c>
      <c r="G36" t="s">
        <v>22</v>
      </c>
      <c r="H36" t="s">
        <v>220</v>
      </c>
    </row>
    <row r="37" spans="1:8" x14ac:dyDescent="0.25">
      <c r="A37" t="s">
        <v>144</v>
      </c>
      <c r="B37" t="s">
        <v>14</v>
      </c>
      <c r="C37" t="s">
        <v>118</v>
      </c>
      <c r="D37" s="5">
        <v>34.944719471313</v>
      </c>
      <c r="E37" s="5">
        <v>-1.39572487620682</v>
      </c>
      <c r="F37" s="5">
        <v>10.8032335742892</v>
      </c>
      <c r="G37" t="s">
        <v>35</v>
      </c>
      <c r="H37" t="s">
        <v>145</v>
      </c>
    </row>
    <row r="38" spans="1:8" x14ac:dyDescent="0.25">
      <c r="A38" t="s">
        <v>146</v>
      </c>
      <c r="B38" t="s">
        <v>14</v>
      </c>
      <c r="C38" t="s">
        <v>118</v>
      </c>
      <c r="D38" s="5">
        <v>2.0764833031210901</v>
      </c>
      <c r="E38" s="5">
        <v>1.2522238564258901</v>
      </c>
      <c r="F38" s="5">
        <v>10.6338589729567</v>
      </c>
      <c r="G38" t="s">
        <v>35</v>
      </c>
      <c r="H38" t="s">
        <v>147</v>
      </c>
    </row>
    <row r="39" spans="1:8" x14ac:dyDescent="0.25">
      <c r="A39" t="s">
        <v>148</v>
      </c>
      <c r="B39" t="s">
        <v>14</v>
      </c>
      <c r="C39" t="s">
        <v>118</v>
      </c>
      <c r="D39" s="5">
        <v>2.7804733979462202</v>
      </c>
      <c r="E39" s="5">
        <v>3.5620026570477301</v>
      </c>
      <c r="F39" s="5">
        <v>-9.2383473267107998</v>
      </c>
      <c r="G39" t="s">
        <v>35</v>
      </c>
      <c r="H39" t="s">
        <v>149</v>
      </c>
    </row>
    <row r="40" spans="1:8" x14ac:dyDescent="0.25">
      <c r="A40" t="s">
        <v>150</v>
      </c>
      <c r="B40" t="s">
        <v>14</v>
      </c>
      <c r="C40" t="s">
        <v>118</v>
      </c>
      <c r="D40" s="5">
        <v>1.12396232854022</v>
      </c>
      <c r="E40" s="5">
        <v>1.8336880341125401</v>
      </c>
      <c r="F40" s="5">
        <v>9.8515171555508001</v>
      </c>
      <c r="G40" t="s">
        <v>35</v>
      </c>
      <c r="H40" t="s">
        <v>151</v>
      </c>
    </row>
    <row r="41" spans="1:8" x14ac:dyDescent="0.25">
      <c r="A41" t="s">
        <v>152</v>
      </c>
      <c r="B41" t="s">
        <v>14</v>
      </c>
      <c r="C41" t="s">
        <v>118</v>
      </c>
      <c r="D41" s="5">
        <v>-8.4268845124127303</v>
      </c>
      <c r="E41" s="5">
        <v>-31.094049368670401</v>
      </c>
      <c r="F41" s="5">
        <v>-27.2706646034753</v>
      </c>
      <c r="G41" t="s">
        <v>35</v>
      </c>
      <c r="H41" t="s">
        <v>153</v>
      </c>
    </row>
    <row r="42" spans="1:8" x14ac:dyDescent="0.25">
      <c r="A42" t="s">
        <v>164</v>
      </c>
      <c r="B42" t="s">
        <v>59</v>
      </c>
      <c r="C42" t="s">
        <v>102</v>
      </c>
      <c r="D42" s="6">
        <v>0.56000000000000005</v>
      </c>
      <c r="E42" s="6">
        <v>0.47</v>
      </c>
      <c r="F42" s="6">
        <v>0.5</v>
      </c>
      <c r="G42" t="s">
        <v>165</v>
      </c>
      <c r="H42" t="s">
        <v>166</v>
      </c>
    </row>
    <row r="43" spans="1:8" x14ac:dyDescent="0.25">
      <c r="A43" t="s">
        <v>167</v>
      </c>
      <c r="B43" t="s">
        <v>101</v>
      </c>
      <c r="C43" t="s">
        <v>102</v>
      </c>
      <c r="D43" s="6">
        <v>10</v>
      </c>
      <c r="E43" s="6">
        <v>8</v>
      </c>
      <c r="F43" s="6">
        <v>8</v>
      </c>
      <c r="G43" t="s">
        <v>168</v>
      </c>
      <c r="H43" t="s">
        <v>59</v>
      </c>
    </row>
    <row r="44" spans="1:8" x14ac:dyDescent="0.25">
      <c r="A44" t="s">
        <v>169</v>
      </c>
      <c r="B44" t="s">
        <v>101</v>
      </c>
      <c r="C44" t="s">
        <v>102</v>
      </c>
      <c r="D44" s="6">
        <v>18</v>
      </c>
      <c r="E44" s="6">
        <v>17</v>
      </c>
      <c r="F44" s="6">
        <v>16</v>
      </c>
      <c r="G44" t="s">
        <v>168</v>
      </c>
      <c r="H44" t="s">
        <v>59</v>
      </c>
    </row>
    <row r="45" spans="1:8" x14ac:dyDescent="0.25">
      <c r="A45" t="s">
        <v>221</v>
      </c>
      <c r="B45" t="s">
        <v>14</v>
      </c>
      <c r="C45" t="s">
        <v>102</v>
      </c>
      <c r="D45" s="6">
        <v>60</v>
      </c>
      <c r="E45" s="6">
        <v>75</v>
      </c>
      <c r="F45" s="6">
        <v>62.5</v>
      </c>
      <c r="G45" t="s">
        <v>59</v>
      </c>
      <c r="H45" t="s">
        <v>222</v>
      </c>
    </row>
    <row r="46" spans="1:8" x14ac:dyDescent="0.25">
      <c r="A46" t="s">
        <v>223</v>
      </c>
      <c r="B46" t="s">
        <v>14</v>
      </c>
      <c r="C46" t="s">
        <v>102</v>
      </c>
      <c r="D46" s="6">
        <v>30</v>
      </c>
      <c r="E46" s="6">
        <v>25</v>
      </c>
      <c r="F46" s="6">
        <v>12.5</v>
      </c>
      <c r="G46" t="s">
        <v>59</v>
      </c>
      <c r="H46" t="s">
        <v>224</v>
      </c>
    </row>
    <row r="47" spans="1:8" x14ac:dyDescent="0.25">
      <c r="A47" t="s">
        <v>225</v>
      </c>
      <c r="B47" t="s">
        <v>14</v>
      </c>
      <c r="C47" t="s">
        <v>102</v>
      </c>
      <c r="D47" s="6">
        <v>50</v>
      </c>
      <c r="E47" s="6">
        <v>50</v>
      </c>
      <c r="F47" s="6">
        <v>62.5</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5">
        <v>53571.428571428602</v>
      </c>
      <c r="E51" s="6">
        <v>60000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10</v>
      </c>
      <c r="E57" s="6">
        <v>12.5</v>
      </c>
      <c r="F57" s="6">
        <v>0</v>
      </c>
      <c r="G57" t="s">
        <v>59</v>
      </c>
      <c r="H57" t="s">
        <v>211</v>
      </c>
    </row>
    <row r="58" spans="1:8" x14ac:dyDescent="0.25">
      <c r="A58" t="s">
        <v>212</v>
      </c>
      <c r="B58" t="s">
        <v>14</v>
      </c>
      <c r="C58" t="s">
        <v>15</v>
      </c>
      <c r="D58" s="9">
        <v>2.4410426148117499</v>
      </c>
      <c r="E58" s="9">
        <v>2.3036649214659701</v>
      </c>
      <c r="F58" s="9">
        <v>2.6178010471204201</v>
      </c>
      <c r="G58" t="s">
        <v>59</v>
      </c>
      <c r="H58" t="s">
        <v>213</v>
      </c>
    </row>
    <row r="59" spans="1:8" x14ac:dyDescent="0.25">
      <c r="A59" t="s">
        <v>214</v>
      </c>
      <c r="B59" t="s">
        <v>14</v>
      </c>
      <c r="C59" t="s">
        <v>15</v>
      </c>
      <c r="D59" s="5">
        <v>0.57923045097227999</v>
      </c>
      <c r="E59" s="5">
        <v>2.8795811518324599</v>
      </c>
      <c r="F59" s="5">
        <v>4.3979057591622999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[1]中医科!$O$4</f>
        <v>胃炎</v>
      </c>
      <c r="E72" s="10" t="str">
        <f>[1]中医科!$I$4</f>
        <v>胃炎</v>
      </c>
      <c r="F72" s="10" t="str">
        <f>[1]中医科!$C$4</f>
        <v>短暂性大脑缺血性发作和相关的综合征</v>
      </c>
      <c r="G72" t="s">
        <v>59</v>
      </c>
      <c r="H72" t="s">
        <v>59</v>
      </c>
    </row>
    <row r="73" spans="1:8" x14ac:dyDescent="0.25">
      <c r="A73" t="s">
        <v>241</v>
      </c>
      <c r="B73" t="s">
        <v>59</v>
      </c>
      <c r="C73" t="s">
        <v>90</v>
      </c>
      <c r="D73" s="10" t="str">
        <f>[1]中医科!$N$4</f>
        <v>K29</v>
      </c>
      <c r="E73" s="10" t="str">
        <f>[1]中医科!$H$4</f>
        <v>K29</v>
      </c>
      <c r="F73" s="10" t="str">
        <f>[1]中医科!$B$4</f>
        <v>G45</v>
      </c>
      <c r="G73" t="s">
        <v>59</v>
      </c>
      <c r="H73" t="s">
        <v>59</v>
      </c>
    </row>
    <row r="74" spans="1:8" x14ac:dyDescent="0.25">
      <c r="A74" t="s">
        <v>242</v>
      </c>
      <c r="B74" t="s">
        <v>14</v>
      </c>
      <c r="C74" t="s">
        <v>90</v>
      </c>
      <c r="D74" s="10">
        <f>[1]中医科!$Q$4</f>
        <v>9.3090608191973505</v>
      </c>
      <c r="E74" s="10">
        <f>[1]中医科!$K$4</f>
        <v>9.7382198952879602</v>
      </c>
      <c r="F74" s="10">
        <f>[1]中医科!$E$4</f>
        <v>11.2565445026178</v>
      </c>
      <c r="G74" t="s">
        <v>59</v>
      </c>
      <c r="H74" t="s">
        <v>59</v>
      </c>
    </row>
    <row r="75" spans="1:8" x14ac:dyDescent="0.25">
      <c r="A75" t="s">
        <v>243</v>
      </c>
      <c r="B75" t="s">
        <v>59</v>
      </c>
      <c r="C75" t="s">
        <v>90</v>
      </c>
      <c r="D75" s="10" t="str">
        <f>[1]中医科!$O$5</f>
        <v>短暂性大脑缺血性发作和相关的综合征</v>
      </c>
      <c r="E75" s="10" t="str">
        <f>[1]中医科!$I$5</f>
        <v>短暂性大脑缺血性发作和相关的综合征</v>
      </c>
      <c r="F75" s="10" t="str">
        <f>[1]中医科!$C$5</f>
        <v>胃炎</v>
      </c>
      <c r="G75" t="s">
        <v>59</v>
      </c>
      <c r="H75" t="s">
        <v>59</v>
      </c>
    </row>
    <row r="76" spans="1:8" x14ac:dyDescent="0.25">
      <c r="A76" t="s">
        <v>244</v>
      </c>
      <c r="B76" t="s">
        <v>59</v>
      </c>
      <c r="C76" t="s">
        <v>90</v>
      </c>
      <c r="D76" s="10" t="str">
        <f>[1]中医科!$N$5</f>
        <v>G45</v>
      </c>
      <c r="E76" s="10" t="str">
        <f>[1]中医科!$H$5</f>
        <v>G45</v>
      </c>
      <c r="F76" s="10" t="str">
        <f>[1]中医科!$B$5</f>
        <v>K29</v>
      </c>
      <c r="G76" t="s">
        <v>59</v>
      </c>
      <c r="H76" t="s">
        <v>59</v>
      </c>
    </row>
    <row r="77" spans="1:8" x14ac:dyDescent="0.25">
      <c r="A77" t="s">
        <v>245</v>
      </c>
      <c r="B77" t="s">
        <v>14</v>
      </c>
      <c r="C77" t="s">
        <v>90</v>
      </c>
      <c r="D77" s="10">
        <f>[1]中医科!$Q$5</f>
        <v>6.8680182043856002</v>
      </c>
      <c r="E77" s="10">
        <f>[1]中医科!$K$5</f>
        <v>7.5916230366492101</v>
      </c>
      <c r="F77" s="10">
        <f>[1]中医科!$E$5</f>
        <v>7.6963350785340303</v>
      </c>
      <c r="G77" t="s">
        <v>59</v>
      </c>
      <c r="H77" t="s">
        <v>59</v>
      </c>
    </row>
    <row r="78" spans="1:8" x14ac:dyDescent="0.25">
      <c r="A78" t="s">
        <v>246</v>
      </c>
      <c r="B78" t="s">
        <v>59</v>
      </c>
      <c r="C78" t="s">
        <v>90</v>
      </c>
      <c r="D78" s="10" t="str">
        <f>[1]中医科!$O$6</f>
        <v>胃息肉</v>
      </c>
      <c r="E78" s="10" t="str">
        <f>[1]中医科!$I$6</f>
        <v>胃息肉</v>
      </c>
      <c r="F78" s="10" t="str">
        <f>[1]中医科!$C$6</f>
        <v>腰椎间盘突出</v>
      </c>
      <c r="G78" t="s">
        <v>59</v>
      </c>
      <c r="H78" t="s">
        <v>59</v>
      </c>
    </row>
    <row r="79" spans="1:8" x14ac:dyDescent="0.25">
      <c r="A79" t="s">
        <v>247</v>
      </c>
      <c r="B79" t="s">
        <v>59</v>
      </c>
      <c r="C79" t="s">
        <v>90</v>
      </c>
      <c r="D79" s="10" t="str">
        <f>[1]中医科!$N$6</f>
        <v>K31.7</v>
      </c>
      <c r="E79" s="10" t="str">
        <f>[1]中医科!$H$6</f>
        <v>K31.7</v>
      </c>
      <c r="F79" s="10" t="str">
        <f>[1]中医科!$B$6</f>
        <v>M51</v>
      </c>
      <c r="G79" t="s">
        <v>59</v>
      </c>
      <c r="H79" t="s">
        <v>59</v>
      </c>
    </row>
    <row r="80" spans="1:8" x14ac:dyDescent="0.25">
      <c r="A80" t="s">
        <v>248</v>
      </c>
      <c r="B80" t="s">
        <v>14</v>
      </c>
      <c r="C80" t="s">
        <v>90</v>
      </c>
      <c r="D80" s="10">
        <f>[1]中医科!$Q$6</f>
        <v>6.7852709971038498</v>
      </c>
      <c r="E80" s="10">
        <f>[1]中医科!$K$6</f>
        <v>4.0314136125654496</v>
      </c>
      <c r="F80" s="10">
        <f>[1]中医科!$E$6</f>
        <v>4.9738219895288003</v>
      </c>
      <c r="G80" t="s">
        <v>59</v>
      </c>
      <c r="H80" t="s">
        <v>59</v>
      </c>
    </row>
    <row r="81" spans="1:8" x14ac:dyDescent="0.25">
      <c r="A81" t="s">
        <v>249</v>
      </c>
      <c r="B81" t="s">
        <v>59</v>
      </c>
      <c r="C81" t="s">
        <v>90</v>
      </c>
      <c r="D81" s="10" t="str">
        <f>[1]中医科!$O$7</f>
        <v>腰椎间盘突出</v>
      </c>
      <c r="E81" s="10" t="str">
        <f>[1]中医科!$I$7</f>
        <v>腰椎间盘突出</v>
      </c>
      <c r="F81" s="10" t="str">
        <f>[1]中医科!$C$7</f>
        <v>肺炎</v>
      </c>
      <c r="G81" t="s">
        <v>59</v>
      </c>
      <c r="H81" t="s">
        <v>59</v>
      </c>
    </row>
    <row r="82" spans="1:8" x14ac:dyDescent="0.25">
      <c r="A82" t="s">
        <v>250</v>
      </c>
      <c r="B82" t="s">
        <v>59</v>
      </c>
      <c r="C82" t="s">
        <v>90</v>
      </c>
      <c r="D82" s="10" t="str">
        <f>[1]中医科!$N$7</f>
        <v>M51</v>
      </c>
      <c r="E82" s="10" t="str">
        <f>[1]中医科!$H$7</f>
        <v>M51</v>
      </c>
      <c r="F82" s="10" t="str">
        <f>[1]中医科!$B$7</f>
        <v>J13-J18</v>
      </c>
      <c r="G82" t="s">
        <v>59</v>
      </c>
      <c r="H82" t="s">
        <v>59</v>
      </c>
    </row>
    <row r="83" spans="1:8" x14ac:dyDescent="0.25">
      <c r="A83" t="s">
        <v>251</v>
      </c>
      <c r="B83" t="s">
        <v>14</v>
      </c>
      <c r="C83" t="s">
        <v>90</v>
      </c>
      <c r="D83" s="10">
        <f>[1]中医科!$Q$7</f>
        <v>2.9375258585022799</v>
      </c>
      <c r="E83" s="10">
        <f>[1]中医科!$K$7</f>
        <v>3.0890052356020901</v>
      </c>
      <c r="F83" s="10">
        <f>[1]中医科!$E$7</f>
        <v>4.6596858638743504</v>
      </c>
      <c r="G83" t="s">
        <v>59</v>
      </c>
      <c r="H83" t="s">
        <v>59</v>
      </c>
    </row>
    <row r="84" spans="1:8" x14ac:dyDescent="0.25">
      <c r="A84" t="s">
        <v>252</v>
      </c>
      <c r="B84" t="s">
        <v>59</v>
      </c>
      <c r="C84" t="s">
        <v>90</v>
      </c>
      <c r="D84" s="10" t="str">
        <f>[1]中医科!$O$8</f>
        <v>肺炎</v>
      </c>
      <c r="E84" s="10" t="str">
        <f>[1]中医科!$I$8</f>
        <v>肺炎</v>
      </c>
      <c r="F84" s="10" t="str">
        <f>[1]中医科!$C$8</f>
        <v>胃息肉</v>
      </c>
      <c r="G84" t="s">
        <v>59</v>
      </c>
      <c r="H84" t="s">
        <v>59</v>
      </c>
    </row>
    <row r="85" spans="1:8" x14ac:dyDescent="0.25">
      <c r="A85" t="s">
        <v>253</v>
      </c>
      <c r="B85" t="s">
        <v>59</v>
      </c>
      <c r="C85" t="s">
        <v>90</v>
      </c>
      <c r="D85" s="10" t="str">
        <f>[1]中医科!$N$8</f>
        <v>J13-J18</v>
      </c>
      <c r="E85" s="10" t="str">
        <f>[1]中医科!$H$8</f>
        <v>J13-J18</v>
      </c>
      <c r="F85" s="10" t="str">
        <f>[1]中医科!$B$8</f>
        <v>K31.7</v>
      </c>
      <c r="G85" t="s">
        <v>59</v>
      </c>
      <c r="H85" t="s">
        <v>59</v>
      </c>
    </row>
    <row r="86" spans="1:8" x14ac:dyDescent="0.25">
      <c r="A86" t="s">
        <v>254</v>
      </c>
      <c r="B86" t="s">
        <v>14</v>
      </c>
      <c r="C86" t="s">
        <v>90</v>
      </c>
      <c r="D86" s="10">
        <f>[1]中医科!$Q$8</f>
        <v>1.4067025237898201</v>
      </c>
      <c r="E86" s="10">
        <f>[1]中医科!$K$8</f>
        <v>1.51832460732984</v>
      </c>
      <c r="F86" s="10">
        <f>[1]中医科!$E$8</f>
        <v>3.29842931937173</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1:H31 G2:H5 G6:H14 G15:H15 G16:H17 G18:H20 G34:H57 G58:H59 G60:H71 G72:H86 D87:H101 A34:B101 A1:H1" numberStoredAsText="1"/>
  </ignoredError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1.3146100985957601</v>
      </c>
      <c r="E2" s="20">
        <v>2.6841018582243601</v>
      </c>
      <c r="F2" s="20">
        <v>8.0867850098619307</v>
      </c>
      <c r="G2" t="s">
        <v>16</v>
      </c>
      <c r="H2" t="s">
        <v>17</v>
      </c>
    </row>
    <row r="3" spans="1:8" x14ac:dyDescent="0.25">
      <c r="A3" t="s">
        <v>18</v>
      </c>
      <c r="B3" t="s">
        <v>14</v>
      </c>
      <c r="C3" t="s">
        <v>15</v>
      </c>
      <c r="D3" s="5">
        <v>2.2727272727272698</v>
      </c>
      <c r="E3" s="6">
        <v>0</v>
      </c>
      <c r="F3" s="6">
        <v>0</v>
      </c>
      <c r="G3" t="s">
        <v>19</v>
      </c>
      <c r="H3" t="s">
        <v>20</v>
      </c>
    </row>
    <row r="4" spans="1:8" x14ac:dyDescent="0.25">
      <c r="A4" t="s">
        <v>21</v>
      </c>
      <c r="B4" t="s">
        <v>14</v>
      </c>
      <c r="C4" t="s">
        <v>15</v>
      </c>
      <c r="D4" s="5">
        <v>6.8181818181818201</v>
      </c>
      <c r="E4" s="6">
        <v>0</v>
      </c>
      <c r="F4" s="6">
        <v>0</v>
      </c>
      <c r="G4" t="s">
        <v>22</v>
      </c>
      <c r="H4" t="s">
        <v>23</v>
      </c>
    </row>
    <row r="5" spans="1:8" x14ac:dyDescent="0.25">
      <c r="A5" t="s">
        <v>24</v>
      </c>
      <c r="B5" t="s">
        <v>14</v>
      </c>
      <c r="C5" t="s">
        <v>15</v>
      </c>
      <c r="D5" s="6">
        <v>98.57</v>
      </c>
      <c r="E5" s="6">
        <v>98.62</v>
      </c>
      <c r="F5" s="6">
        <v>98.03</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1.19</v>
      </c>
      <c r="E10" s="6">
        <v>1.82</v>
      </c>
      <c r="F10" s="6">
        <v>1.77</v>
      </c>
      <c r="G10" t="s">
        <v>58</v>
      </c>
      <c r="H10" t="s">
        <v>59</v>
      </c>
    </row>
    <row r="11" spans="1:8" x14ac:dyDescent="0.25">
      <c r="A11" t="s">
        <v>63</v>
      </c>
      <c r="B11" t="s">
        <v>64</v>
      </c>
      <c r="C11" t="s">
        <v>61</v>
      </c>
      <c r="D11" s="5">
        <v>37.834687511043001</v>
      </c>
      <c r="E11" s="5">
        <v>42.362404537000302</v>
      </c>
      <c r="F11" s="5">
        <v>67.968163556937995</v>
      </c>
      <c r="G11" t="s">
        <v>35</v>
      </c>
      <c r="H11" t="s">
        <v>65</v>
      </c>
    </row>
    <row r="12" spans="1:8" x14ac:dyDescent="0.25">
      <c r="A12" t="s">
        <v>66</v>
      </c>
      <c r="B12" t="s">
        <v>14</v>
      </c>
      <c r="C12" t="s">
        <v>61</v>
      </c>
      <c r="D12" s="6">
        <v>89.4</v>
      </c>
      <c r="E12" s="6">
        <v>80.709999999999994</v>
      </c>
      <c r="F12" s="6">
        <v>71.069999999999993</v>
      </c>
      <c r="G12" t="s">
        <v>39</v>
      </c>
      <c r="H12" t="s">
        <v>67</v>
      </c>
    </row>
    <row r="13" spans="1:8" x14ac:dyDescent="0.25">
      <c r="A13" t="s">
        <v>68</v>
      </c>
      <c r="B13" t="s">
        <v>14</v>
      </c>
      <c r="C13" t="s">
        <v>61</v>
      </c>
      <c r="D13" s="6">
        <v>98.91</v>
      </c>
      <c r="E13" s="6">
        <v>99.06</v>
      </c>
      <c r="F13" s="6">
        <v>96.57</v>
      </c>
      <c r="G13" t="s">
        <v>39</v>
      </c>
      <c r="H13" t="s">
        <v>69</v>
      </c>
    </row>
    <row r="14" spans="1:8" x14ac:dyDescent="0.25">
      <c r="A14" t="s">
        <v>74</v>
      </c>
      <c r="B14" t="s">
        <v>14</v>
      </c>
      <c r="C14" t="s">
        <v>75</v>
      </c>
      <c r="D14" s="21">
        <v>0</v>
      </c>
      <c r="E14" s="18">
        <f>121520/19219316*100</f>
        <v>0.63228056607217442</v>
      </c>
      <c r="F14" s="18">
        <f>20064/21601810*100</f>
        <v>9.288110579622727E-2</v>
      </c>
      <c r="G14" t="s">
        <v>35</v>
      </c>
      <c r="H14" t="s">
        <v>76</v>
      </c>
    </row>
    <row r="15" spans="1:8" x14ac:dyDescent="0.25">
      <c r="A15" t="s">
        <v>91</v>
      </c>
      <c r="B15" t="s">
        <v>92</v>
      </c>
      <c r="C15" t="s">
        <v>15</v>
      </c>
      <c r="D15" s="6">
        <v>8.31</v>
      </c>
      <c r="E15" s="6">
        <v>9.1</v>
      </c>
      <c r="F15" s="6">
        <v>9.6199999999999992</v>
      </c>
      <c r="G15" t="s">
        <v>93</v>
      </c>
      <c r="H15" t="s">
        <v>94</v>
      </c>
    </row>
    <row r="16" spans="1:8" x14ac:dyDescent="0.25">
      <c r="A16" t="s">
        <v>95</v>
      </c>
      <c r="B16" t="s">
        <v>59</v>
      </c>
      <c r="C16" t="s">
        <v>34</v>
      </c>
      <c r="D16" s="6">
        <v>0.95</v>
      </c>
      <c r="E16" s="6">
        <v>0.93</v>
      </c>
      <c r="F16" s="6">
        <v>1.0900000000000001</v>
      </c>
      <c r="G16" t="s">
        <v>96</v>
      </c>
      <c r="H16" t="s">
        <v>59</v>
      </c>
    </row>
    <row r="17" spans="1:8" x14ac:dyDescent="0.25">
      <c r="A17" t="s">
        <v>97</v>
      </c>
      <c r="B17" t="s">
        <v>98</v>
      </c>
      <c r="C17" t="s">
        <v>34</v>
      </c>
      <c r="D17" s="6">
        <v>228</v>
      </c>
      <c r="E17" s="6">
        <v>203</v>
      </c>
      <c r="F17" s="6">
        <v>202</v>
      </c>
      <c r="G17" t="s">
        <v>99</v>
      </c>
      <c r="H17" t="s">
        <v>59</v>
      </c>
    </row>
    <row r="18" spans="1:8" x14ac:dyDescent="0.25">
      <c r="A18" t="s">
        <v>104</v>
      </c>
      <c r="B18" t="s">
        <v>105</v>
      </c>
      <c r="C18" t="s">
        <v>15</v>
      </c>
      <c r="D18" s="6">
        <v>70</v>
      </c>
      <c r="E18" s="6">
        <v>70</v>
      </c>
      <c r="F18" s="6">
        <v>70</v>
      </c>
      <c r="G18" t="s">
        <v>58</v>
      </c>
      <c r="H18" t="s">
        <v>59</v>
      </c>
    </row>
    <row r="19" spans="1:8" x14ac:dyDescent="0.25">
      <c r="A19" t="s">
        <v>106</v>
      </c>
      <c r="B19" t="s">
        <v>105</v>
      </c>
      <c r="C19" t="s">
        <v>15</v>
      </c>
      <c r="D19" s="6">
        <v>70</v>
      </c>
      <c r="E19" s="6">
        <v>70</v>
      </c>
      <c r="F19" s="6">
        <v>70</v>
      </c>
      <c r="G19" t="s">
        <v>58</v>
      </c>
      <c r="H19" t="s">
        <v>59</v>
      </c>
    </row>
    <row r="20" spans="1:8" x14ac:dyDescent="0.25">
      <c r="A20" t="s">
        <v>107</v>
      </c>
      <c r="B20" t="s">
        <v>14</v>
      </c>
      <c r="C20" t="s">
        <v>15</v>
      </c>
      <c r="D20" s="6">
        <v>110.16</v>
      </c>
      <c r="E20" s="6">
        <v>104.18</v>
      </c>
      <c r="F20" s="6">
        <v>116.61</v>
      </c>
      <c r="G20" t="s">
        <v>58</v>
      </c>
      <c r="H20" t="s">
        <v>108</v>
      </c>
    </row>
    <row r="21" spans="1:8" x14ac:dyDescent="0.25">
      <c r="A21" t="s">
        <v>112</v>
      </c>
      <c r="B21" t="s">
        <v>59</v>
      </c>
      <c r="C21" t="s">
        <v>102</v>
      </c>
      <c r="D21" s="5">
        <f t="shared" ref="D21:F21" si="0">D43/D19</f>
        <v>0.11428571428571428</v>
      </c>
      <c r="E21" s="5">
        <f t="shared" si="0"/>
        <v>0.11428571428571428</v>
      </c>
      <c r="F21" s="5">
        <f t="shared" si="0"/>
        <v>0.1</v>
      </c>
      <c r="G21" t="s">
        <v>110</v>
      </c>
      <c r="H21" t="s">
        <v>113</v>
      </c>
    </row>
    <row r="22" spans="1:8" x14ac:dyDescent="0.25">
      <c r="A22" t="s">
        <v>114</v>
      </c>
      <c r="B22" t="s">
        <v>59</v>
      </c>
      <c r="C22" t="s">
        <v>102</v>
      </c>
      <c r="D22" s="5">
        <f t="shared" ref="D22:F22" si="1">D44/D19</f>
        <v>0.4</v>
      </c>
      <c r="E22" s="5">
        <f t="shared" si="1"/>
        <v>0.4</v>
      </c>
      <c r="F22" s="5">
        <f t="shared" si="1"/>
        <v>0.45714285714285713</v>
      </c>
      <c r="G22" t="s">
        <v>110</v>
      </c>
      <c r="H22" t="s">
        <v>115</v>
      </c>
    </row>
    <row r="23" spans="1:8" x14ac:dyDescent="0.25">
      <c r="A23" t="s">
        <v>116</v>
      </c>
      <c r="B23" t="s">
        <v>117</v>
      </c>
      <c r="C23" t="s">
        <v>118</v>
      </c>
      <c r="D23" s="5">
        <v>19.8003251111111</v>
      </c>
      <c r="E23" s="5">
        <v>17.8467706756757</v>
      </c>
      <c r="F23" s="5">
        <v>17.9608533</v>
      </c>
      <c r="G23" t="s">
        <v>119</v>
      </c>
      <c r="H23" t="s">
        <v>59</v>
      </c>
    </row>
    <row r="24" spans="1:8" x14ac:dyDescent="0.25">
      <c r="A24" t="s">
        <v>120</v>
      </c>
      <c r="B24" t="s">
        <v>117</v>
      </c>
      <c r="C24" t="s">
        <v>118</v>
      </c>
      <c r="D24" s="5">
        <v>53.870503555555601</v>
      </c>
      <c r="E24" s="5">
        <v>44.911168837837799</v>
      </c>
      <c r="F24" s="5">
        <v>43.0242182</v>
      </c>
      <c r="G24" t="s">
        <v>121</v>
      </c>
      <c r="H24" t="s">
        <v>59</v>
      </c>
    </row>
    <row r="25" spans="1:8" x14ac:dyDescent="0.25">
      <c r="A25" t="s">
        <v>122</v>
      </c>
      <c r="B25" t="s">
        <v>117</v>
      </c>
      <c r="C25" t="s">
        <v>118</v>
      </c>
      <c r="D25" s="5">
        <v>10.183024342857101</v>
      </c>
      <c r="E25" s="5">
        <v>9.4332930714285705</v>
      </c>
      <c r="F25" s="5">
        <v>10.2633447428571</v>
      </c>
      <c r="G25" t="s">
        <v>123</v>
      </c>
      <c r="H25" t="s">
        <v>59</v>
      </c>
    </row>
    <row r="26" spans="1:8" x14ac:dyDescent="0.25">
      <c r="A26" t="s">
        <v>124</v>
      </c>
      <c r="B26" t="s">
        <v>117</v>
      </c>
      <c r="C26" t="s">
        <v>118</v>
      </c>
      <c r="D26" s="5">
        <v>27.704830399999999</v>
      </c>
      <c r="E26" s="5">
        <v>23.738760671428601</v>
      </c>
      <c r="F26" s="5">
        <v>24.5852675428571</v>
      </c>
      <c r="G26" t="s">
        <v>125</v>
      </c>
      <c r="H26" t="s">
        <v>59</v>
      </c>
    </row>
    <row r="27" spans="1:8" x14ac:dyDescent="0.25">
      <c r="A27" t="s">
        <v>126</v>
      </c>
      <c r="B27" t="s">
        <v>127</v>
      </c>
      <c r="C27" t="s">
        <v>118</v>
      </c>
      <c r="D27" s="5">
        <v>9.6393835616438395</v>
      </c>
      <c r="E27" s="5">
        <v>9.1404109589041092</v>
      </c>
      <c r="F27" s="5">
        <v>11.6606653620352</v>
      </c>
      <c r="G27" t="s">
        <v>39</v>
      </c>
      <c r="H27" t="s">
        <v>128</v>
      </c>
    </row>
    <row r="28" spans="1:8" x14ac:dyDescent="0.25">
      <c r="A28" t="s">
        <v>129</v>
      </c>
      <c r="B28" t="s">
        <v>14</v>
      </c>
      <c r="C28" t="s">
        <v>118</v>
      </c>
      <c r="D28" s="5">
        <v>28.0787522627245</v>
      </c>
      <c r="E28" s="5">
        <v>29.274884287489101</v>
      </c>
      <c r="F28" s="5">
        <v>28.446435933308098</v>
      </c>
      <c r="G28" t="s">
        <v>130</v>
      </c>
      <c r="H28" t="s">
        <v>131</v>
      </c>
    </row>
    <row r="29" spans="1:8" x14ac:dyDescent="0.25">
      <c r="A29" t="s">
        <v>132</v>
      </c>
      <c r="B29" t="s">
        <v>117</v>
      </c>
      <c r="C29" t="s">
        <v>118</v>
      </c>
      <c r="D29" s="5">
        <v>2538.616023</v>
      </c>
      <c r="E29" s="5">
        <v>2255.6212639999999</v>
      </c>
      <c r="F29" s="5">
        <v>2525.5681719999998</v>
      </c>
      <c r="G29" t="s">
        <v>59</v>
      </c>
      <c r="H29" t="s">
        <v>133</v>
      </c>
    </row>
    <row r="30" spans="1:8" x14ac:dyDescent="0.25">
      <c r="A30" t="s">
        <v>134</v>
      </c>
      <c r="B30" t="s">
        <v>117</v>
      </c>
      <c r="C30" t="s">
        <v>118</v>
      </c>
      <c r="D30" s="5">
        <v>712.81170399999996</v>
      </c>
      <c r="E30" s="5">
        <v>660.33051499999999</v>
      </c>
      <c r="F30" s="5">
        <v>718.43413199999998</v>
      </c>
      <c r="G30" t="s">
        <v>59</v>
      </c>
      <c r="H30" t="s">
        <v>59</v>
      </c>
    </row>
    <row r="31" spans="1:8" x14ac:dyDescent="0.25">
      <c r="A31" t="s">
        <v>135</v>
      </c>
      <c r="B31" t="s">
        <v>117</v>
      </c>
      <c r="C31" t="s">
        <v>118</v>
      </c>
      <c r="D31" s="5">
        <v>1939.3381280000001</v>
      </c>
      <c r="E31" s="5">
        <v>1661.7132469999999</v>
      </c>
      <c r="F31" s="5">
        <v>1720.9687280000001</v>
      </c>
      <c r="G31" t="s">
        <v>59</v>
      </c>
      <c r="H31" t="s">
        <v>136</v>
      </c>
    </row>
    <row r="32" spans="1:8" x14ac:dyDescent="0.25">
      <c r="A32" t="s">
        <v>216</v>
      </c>
      <c r="B32" t="s">
        <v>117</v>
      </c>
      <c r="D32" s="17">
        <v>1452.12</v>
      </c>
      <c r="E32" s="17">
        <v>1353.28</v>
      </c>
      <c r="F32" s="17">
        <v>1642.82</v>
      </c>
    </row>
    <row r="33" spans="1:8" x14ac:dyDescent="0.25">
      <c r="A33" t="s">
        <v>143</v>
      </c>
      <c r="B33" t="s">
        <v>14</v>
      </c>
      <c r="D33" s="15">
        <v>-16.309999999999999</v>
      </c>
      <c r="E33" s="15">
        <v>-14.11</v>
      </c>
      <c r="F33" s="15">
        <v>-7.86</v>
      </c>
    </row>
    <row r="34" spans="1:8" x14ac:dyDescent="0.25">
      <c r="A34" t="s">
        <v>137</v>
      </c>
      <c r="B34" t="s">
        <v>138</v>
      </c>
      <c r="C34" t="s">
        <v>139</v>
      </c>
      <c r="D34" s="6"/>
      <c r="E34" s="6"/>
      <c r="F34" s="6"/>
      <c r="G34" t="s">
        <v>35</v>
      </c>
      <c r="H34" t="s">
        <v>140</v>
      </c>
    </row>
    <row r="35" spans="1:8" x14ac:dyDescent="0.25">
      <c r="A35" t="s">
        <v>217</v>
      </c>
      <c r="B35" t="s">
        <v>14</v>
      </c>
      <c r="C35" t="s">
        <v>118</v>
      </c>
      <c r="D35" s="5">
        <v>20.675310257426801</v>
      </c>
      <c r="E35" s="5">
        <v>17.768711192642801</v>
      </c>
      <c r="F35" s="5">
        <v>15.2509300786358</v>
      </c>
      <c r="G35" t="s">
        <v>22</v>
      </c>
      <c r="H35" t="s">
        <v>218</v>
      </c>
    </row>
    <row r="36" spans="1:8" x14ac:dyDescent="0.25">
      <c r="A36" t="s">
        <v>219</v>
      </c>
      <c r="B36" t="s">
        <v>14</v>
      </c>
      <c r="C36" t="s">
        <v>118</v>
      </c>
      <c r="D36" s="5">
        <v>79.324689742573199</v>
      </c>
      <c r="E36" s="5">
        <v>82.231288807357103</v>
      </c>
      <c r="F36" s="5">
        <v>84.749069921364196</v>
      </c>
      <c r="G36" t="s">
        <v>22</v>
      </c>
      <c r="H36" t="s">
        <v>220</v>
      </c>
    </row>
    <row r="37" spans="1:8" x14ac:dyDescent="0.25">
      <c r="A37" t="s">
        <v>144</v>
      </c>
      <c r="B37" t="s">
        <v>14</v>
      </c>
      <c r="C37" t="s">
        <v>118</v>
      </c>
      <c r="D37" s="5">
        <v>12.546200176272199</v>
      </c>
      <c r="E37" s="5">
        <v>-10.688561528166099</v>
      </c>
      <c r="F37" s="5">
        <v>12.566164832987001</v>
      </c>
      <c r="G37" t="s">
        <v>35</v>
      </c>
      <c r="H37" t="s">
        <v>145</v>
      </c>
    </row>
    <row r="38" spans="1:8" x14ac:dyDescent="0.25">
      <c r="A38" t="s">
        <v>146</v>
      </c>
      <c r="B38" t="s">
        <v>14</v>
      </c>
      <c r="C38" t="s">
        <v>118</v>
      </c>
      <c r="D38" s="5">
        <v>-4.8612396346770304</v>
      </c>
      <c r="E38" s="5">
        <v>22.094669713811498</v>
      </c>
      <c r="F38" s="5">
        <v>128.169981924589</v>
      </c>
      <c r="G38" t="s">
        <v>35</v>
      </c>
      <c r="H38" t="s">
        <v>147</v>
      </c>
    </row>
    <row r="39" spans="1:8" x14ac:dyDescent="0.25">
      <c r="A39" t="s">
        <v>148</v>
      </c>
      <c r="B39" t="s">
        <v>14</v>
      </c>
      <c r="C39" t="s">
        <v>118</v>
      </c>
      <c r="D39" s="5">
        <v>-5.98557686903332</v>
      </c>
      <c r="E39" s="5">
        <v>-8.4991871531878704</v>
      </c>
      <c r="F39" s="5">
        <v>-17.302950616125202</v>
      </c>
      <c r="G39" t="s">
        <v>35</v>
      </c>
      <c r="H39" t="s">
        <v>149</v>
      </c>
    </row>
    <row r="40" spans="1:8" x14ac:dyDescent="0.25">
      <c r="A40" t="s">
        <v>150</v>
      </c>
      <c r="B40" t="s">
        <v>14</v>
      </c>
      <c r="C40" t="s">
        <v>118</v>
      </c>
      <c r="D40" s="5">
        <v>-6.8878116629644701</v>
      </c>
      <c r="E40" s="5">
        <v>16.401773435952901</v>
      </c>
      <c r="F40" s="5">
        <v>140.082620526043</v>
      </c>
      <c r="G40" t="s">
        <v>35</v>
      </c>
      <c r="H40" t="s">
        <v>151</v>
      </c>
    </row>
    <row r="41" spans="1:8" x14ac:dyDescent="0.25">
      <c r="A41" t="s">
        <v>152</v>
      </c>
      <c r="B41" t="s">
        <v>14</v>
      </c>
      <c r="C41" t="s">
        <v>118</v>
      </c>
      <c r="D41" s="5">
        <v>-18.976926058697298</v>
      </c>
      <c r="E41" s="5">
        <v>-31.7194342703568</v>
      </c>
      <c r="F41" s="5">
        <v>-28.075239268532599</v>
      </c>
      <c r="G41" t="s">
        <v>35</v>
      </c>
      <c r="H41" t="s">
        <v>153</v>
      </c>
    </row>
    <row r="42" spans="1:8" x14ac:dyDescent="0.25">
      <c r="A42" t="s">
        <v>164</v>
      </c>
      <c r="B42" t="s">
        <v>59</v>
      </c>
      <c r="C42" t="s">
        <v>102</v>
      </c>
      <c r="D42" s="6">
        <v>0.28999999999999998</v>
      </c>
      <c r="E42" s="6">
        <v>0.28999999999999998</v>
      </c>
      <c r="F42" s="6">
        <v>0.22</v>
      </c>
      <c r="G42" t="s">
        <v>165</v>
      </c>
      <c r="H42" t="s">
        <v>166</v>
      </c>
    </row>
    <row r="43" spans="1:8" x14ac:dyDescent="0.25">
      <c r="A43" t="s">
        <v>167</v>
      </c>
      <c r="B43" t="s">
        <v>101</v>
      </c>
      <c r="C43" t="s">
        <v>102</v>
      </c>
      <c r="D43" s="6">
        <v>8</v>
      </c>
      <c r="E43" s="6">
        <v>8</v>
      </c>
      <c r="F43" s="6">
        <v>7</v>
      </c>
      <c r="G43" t="s">
        <v>168</v>
      </c>
      <c r="H43" t="s">
        <v>59</v>
      </c>
    </row>
    <row r="44" spans="1:8" x14ac:dyDescent="0.25">
      <c r="A44" t="s">
        <v>169</v>
      </c>
      <c r="B44" t="s">
        <v>101</v>
      </c>
      <c r="C44" t="s">
        <v>102</v>
      </c>
      <c r="D44" s="6">
        <v>28</v>
      </c>
      <c r="E44" s="6">
        <v>28</v>
      </c>
      <c r="F44" s="6">
        <v>32</v>
      </c>
      <c r="G44" t="s">
        <v>168</v>
      </c>
      <c r="H44" t="s">
        <v>59</v>
      </c>
    </row>
    <row r="45" spans="1:8" x14ac:dyDescent="0.25">
      <c r="A45" t="s">
        <v>221</v>
      </c>
      <c r="B45" t="s">
        <v>14</v>
      </c>
      <c r="C45" t="s">
        <v>102</v>
      </c>
      <c r="D45" s="6">
        <v>62.5</v>
      </c>
      <c r="E45" s="6">
        <v>62.5</v>
      </c>
      <c r="F45" s="6">
        <v>57.14</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50</v>
      </c>
      <c r="E47" s="6">
        <v>50</v>
      </c>
      <c r="F47" s="6">
        <v>42.86</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1.9719151478936401</v>
      </c>
      <c r="E58" s="9">
        <v>2.6841018582243601</v>
      </c>
      <c r="F58" s="9">
        <v>2.7942143326758702</v>
      </c>
      <c r="G58" t="s">
        <v>59</v>
      </c>
      <c r="H58" t="s">
        <v>213</v>
      </c>
    </row>
    <row r="59" spans="1:8" x14ac:dyDescent="0.25">
      <c r="A59" t="s">
        <v>214</v>
      </c>
      <c r="B59" t="s">
        <v>14</v>
      </c>
      <c r="C59" t="s">
        <v>15</v>
      </c>
      <c r="D59" s="5">
        <v>3.3164027487302099</v>
      </c>
      <c r="E59" s="5">
        <v>4.0605643496214698</v>
      </c>
      <c r="F59" s="5">
        <v>3.74753451676529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[1]全科医学科!$O$4</f>
        <v>脑梗死</v>
      </c>
      <c r="E72" s="10" t="str">
        <f>[1]全科医学科!$I$4</f>
        <v>脑梗死</v>
      </c>
      <c r="F72" s="10" t="str">
        <f>[1]全科医学科!$C$4</f>
        <v>混合型颈椎病</v>
      </c>
      <c r="G72" t="s">
        <v>59</v>
      </c>
      <c r="H72" t="s">
        <v>59</v>
      </c>
    </row>
    <row r="73" spans="1:8" x14ac:dyDescent="0.25">
      <c r="A73" t="s">
        <v>241</v>
      </c>
      <c r="B73" t="s">
        <v>59</v>
      </c>
      <c r="C73" t="s">
        <v>90</v>
      </c>
      <c r="D73" s="10" t="str">
        <f>[1]全科医学科!$N$4</f>
        <v>I63</v>
      </c>
      <c r="E73" s="10" t="str">
        <f>[1]全科医学科!$H$4</f>
        <v>I63</v>
      </c>
      <c r="F73" s="10" t="str">
        <f>[1]全科医学科!$B$4</f>
        <v>M47.8</v>
      </c>
      <c r="G73" t="s">
        <v>59</v>
      </c>
      <c r="H73" t="s">
        <v>59</v>
      </c>
    </row>
    <row r="74" spans="1:8" x14ac:dyDescent="0.25">
      <c r="A74" t="s">
        <v>242</v>
      </c>
      <c r="B74" t="s">
        <v>14</v>
      </c>
      <c r="C74" t="s">
        <v>90</v>
      </c>
      <c r="D74" s="10">
        <f>[1]全科医学科!$Q$4</f>
        <v>15.416791156259301</v>
      </c>
      <c r="E74" s="10">
        <f>[1]全科医学科!$K$4</f>
        <v>16.964900206469402</v>
      </c>
      <c r="F74" s="10">
        <f>[1]全科医学科!$E$4</f>
        <v>15.844838921761999</v>
      </c>
      <c r="G74" t="s">
        <v>59</v>
      </c>
      <c r="H74" t="s">
        <v>59</v>
      </c>
    </row>
    <row r="75" spans="1:8" x14ac:dyDescent="0.25">
      <c r="A75" t="s">
        <v>243</v>
      </c>
      <c r="B75" t="s">
        <v>59</v>
      </c>
      <c r="C75" t="s">
        <v>90</v>
      </c>
      <c r="D75" s="10" t="str">
        <f>[1]全科医学科!$O$5</f>
        <v>慢性阻塞性肺病</v>
      </c>
      <c r="E75" s="10" t="str">
        <f>[1]全科医学科!$I$5</f>
        <v>混合型颈椎病</v>
      </c>
      <c r="F75" s="10" t="str">
        <f>[1]全科医学科!$C$5</f>
        <v>脑梗死</v>
      </c>
      <c r="G75" t="s">
        <v>59</v>
      </c>
      <c r="H75" t="s">
        <v>59</v>
      </c>
    </row>
    <row r="76" spans="1:8" x14ac:dyDescent="0.25">
      <c r="A76" t="s">
        <v>244</v>
      </c>
      <c r="B76" t="s">
        <v>59</v>
      </c>
      <c r="C76" t="s">
        <v>90</v>
      </c>
      <c r="D76" s="10" t="str">
        <f>[1]全科医学科!$N$5</f>
        <v>J44</v>
      </c>
      <c r="E76" s="10" t="str">
        <f>[1]全科医学科!$H$5</f>
        <v>M47.8</v>
      </c>
      <c r="F76" s="10" t="str">
        <f>[1]全科医学科!$B$5</f>
        <v>I63</v>
      </c>
      <c r="G76" t="s">
        <v>59</v>
      </c>
      <c r="H76" t="s">
        <v>59</v>
      </c>
    </row>
    <row r="77" spans="1:8" x14ac:dyDescent="0.25">
      <c r="A77" t="s">
        <v>245</v>
      </c>
      <c r="B77" t="s">
        <v>14</v>
      </c>
      <c r="C77" t="s">
        <v>90</v>
      </c>
      <c r="D77" s="10">
        <f>[1]全科医学科!$Q$5</f>
        <v>6.7523155064236597</v>
      </c>
      <c r="E77" s="10">
        <f>[1]全科医学科!$K$5</f>
        <v>8.7749483826565697</v>
      </c>
      <c r="F77" s="10">
        <f>[1]全科医学科!$E$5</f>
        <v>13.8067061143984</v>
      </c>
      <c r="G77" t="s">
        <v>59</v>
      </c>
      <c r="H77" t="s">
        <v>59</v>
      </c>
    </row>
    <row r="78" spans="1:8" x14ac:dyDescent="0.25">
      <c r="A78" t="s">
        <v>246</v>
      </c>
      <c r="B78" t="s">
        <v>59</v>
      </c>
      <c r="C78" t="s">
        <v>90</v>
      </c>
      <c r="D78" s="10" t="str">
        <f>[1]全科医学科!$O$6</f>
        <v>肺炎</v>
      </c>
      <c r="E78" s="10" t="str">
        <f>[1]全科医学科!$I$6</f>
        <v>肺炎</v>
      </c>
      <c r="F78" s="10" t="str">
        <f>[1]全科医学科!$C$6</f>
        <v>慢性阻塞性肺病</v>
      </c>
      <c r="G78" t="s">
        <v>59</v>
      </c>
      <c r="H78" t="s">
        <v>59</v>
      </c>
    </row>
    <row r="79" spans="1:8" x14ac:dyDescent="0.25">
      <c r="A79" t="s">
        <v>247</v>
      </c>
      <c r="B79" t="s">
        <v>59</v>
      </c>
      <c r="C79" t="s">
        <v>90</v>
      </c>
      <c r="D79" s="10" t="str">
        <f>[1]全科医学科!$N$6</f>
        <v>J13-J18</v>
      </c>
      <c r="E79" s="10" t="str">
        <f>[1]全科医学科!$H$6</f>
        <v>J13-J18</v>
      </c>
      <c r="F79" s="10" t="str">
        <f>[1]全科医学科!$B$6</f>
        <v>J44</v>
      </c>
      <c r="G79" t="s">
        <v>59</v>
      </c>
      <c r="H79" t="s">
        <v>59</v>
      </c>
    </row>
    <row r="80" spans="1:8" x14ac:dyDescent="0.25">
      <c r="A80" t="s">
        <v>248</v>
      </c>
      <c r="B80" t="s">
        <v>14</v>
      </c>
      <c r="C80" t="s">
        <v>90</v>
      </c>
      <c r="D80" s="10">
        <f>[1]全科医学科!$Q$6</f>
        <v>5.7066029279952204</v>
      </c>
      <c r="E80" s="10">
        <f>[1]全科医学科!$K$6</f>
        <v>8.2587749483826602</v>
      </c>
      <c r="F80" s="10">
        <f>[1]全科医学科!$E$6</f>
        <v>12.787639710716601</v>
      </c>
      <c r="G80" t="s">
        <v>59</v>
      </c>
      <c r="H80" t="s">
        <v>59</v>
      </c>
    </row>
    <row r="81" spans="1:8" x14ac:dyDescent="0.25">
      <c r="A81" t="s">
        <v>249</v>
      </c>
      <c r="B81" t="s">
        <v>59</v>
      </c>
      <c r="C81" t="s">
        <v>90</v>
      </c>
      <c r="D81" s="10" t="str">
        <f>[1]全科医学科!$O$7</f>
        <v>心绞痛</v>
      </c>
      <c r="E81" s="10" t="str">
        <f>[1]全科医学科!$I$7</f>
        <v>慢性阻塞性肺病</v>
      </c>
      <c r="F81" s="10" t="str">
        <f>[1]全科医学科!$C$7</f>
        <v>肺炎</v>
      </c>
      <c r="G81" t="s">
        <v>59</v>
      </c>
      <c r="H81" t="s">
        <v>59</v>
      </c>
    </row>
    <row r="82" spans="1:8" x14ac:dyDescent="0.25">
      <c r="A82" t="s">
        <v>250</v>
      </c>
      <c r="B82" t="s">
        <v>59</v>
      </c>
      <c r="C82" t="s">
        <v>90</v>
      </c>
      <c r="D82" s="10" t="str">
        <f>[1]全科医学科!$N$7</f>
        <v>I20</v>
      </c>
      <c r="E82" s="10" t="str">
        <f>[1]全科医学科!$H$7</f>
        <v>J44</v>
      </c>
      <c r="F82" s="10" t="str">
        <f>[1]全科医学科!$B$7</f>
        <v>J13-J18</v>
      </c>
      <c r="G82" t="s">
        <v>59</v>
      </c>
      <c r="H82" t="s">
        <v>59</v>
      </c>
    </row>
    <row r="83" spans="1:8" x14ac:dyDescent="0.25">
      <c r="A83" t="s">
        <v>251</v>
      </c>
      <c r="B83" t="s">
        <v>14</v>
      </c>
      <c r="C83" t="s">
        <v>90</v>
      </c>
      <c r="D83" s="10">
        <f>[1]全科医学科!$Q$7</f>
        <v>4.9596653719749</v>
      </c>
      <c r="E83" s="10">
        <f>[1]全科医学科!$K$7</f>
        <v>8.0178940123881599</v>
      </c>
      <c r="F83" s="10">
        <f>[1]全科医学科!$E$7</f>
        <v>11.2426035502959</v>
      </c>
      <c r="G83" t="s">
        <v>59</v>
      </c>
      <c r="H83" t="s">
        <v>59</v>
      </c>
    </row>
    <row r="84" spans="1:8" x14ac:dyDescent="0.25">
      <c r="A84" t="s">
        <v>252</v>
      </c>
      <c r="B84" t="s">
        <v>59</v>
      </c>
      <c r="C84" t="s">
        <v>90</v>
      </c>
      <c r="D84" s="10" t="str">
        <f>[1]全科医学科!$O$8</f>
        <v>混合型颈椎病</v>
      </c>
      <c r="E84" s="10" t="str">
        <f>[1]全科医学科!$I$8</f>
        <v>心绞痛</v>
      </c>
      <c r="F84" s="10" t="str">
        <f>[1]全科医学科!$C$8</f>
        <v>心绞痛</v>
      </c>
      <c r="G84" t="s">
        <v>59</v>
      </c>
      <c r="H84" t="s">
        <v>59</v>
      </c>
    </row>
    <row r="85" spans="1:8" x14ac:dyDescent="0.25">
      <c r="A85" t="s">
        <v>253</v>
      </c>
      <c r="B85" t="s">
        <v>59</v>
      </c>
      <c r="C85" t="s">
        <v>90</v>
      </c>
      <c r="D85" s="10" t="str">
        <f>[1]全科医学科!$N$8</f>
        <v>M47.8</v>
      </c>
      <c r="E85" s="10" t="str">
        <f>[1]全科医学科!$H$8</f>
        <v>I20</v>
      </c>
      <c r="F85" s="10" t="str">
        <f>[1]全科医学科!$B$8</f>
        <v>I20</v>
      </c>
      <c r="G85" t="s">
        <v>59</v>
      </c>
      <c r="H85" t="s">
        <v>59</v>
      </c>
    </row>
    <row r="86" spans="1:8" x14ac:dyDescent="0.25">
      <c r="A86" t="s">
        <v>254</v>
      </c>
      <c r="B86" t="s">
        <v>14</v>
      </c>
      <c r="C86" t="s">
        <v>90</v>
      </c>
      <c r="D86" s="10">
        <f>[1]全科医学科!$Q$8</f>
        <v>3.22677024200777</v>
      </c>
      <c r="E86" s="10">
        <f>[1]全科医学科!$K$8</f>
        <v>3.78527185134205</v>
      </c>
      <c r="F86" s="10">
        <f>[1]全科医学科!$E$8</f>
        <v>5.2925706771860597</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A1:H1 G34:H86 D87:H101 A34:B101" numberStoredAsText="1"/>
  </ignoredError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H101"/>
  <sheetViews>
    <sheetView topLeftCell="A20"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11">
        <v>1.15449915110357</v>
      </c>
      <c r="E2" s="11">
        <v>1.0186389250108401</v>
      </c>
      <c r="F2" s="11">
        <v>0.89010612803834299</v>
      </c>
      <c r="G2" t="s">
        <v>16</v>
      </c>
      <c r="H2" t="s">
        <v>17</v>
      </c>
    </row>
    <row r="3" spans="1:8" x14ac:dyDescent="0.25">
      <c r="A3" t="s">
        <v>18</v>
      </c>
      <c r="B3" t="s">
        <v>14</v>
      </c>
      <c r="C3" t="s">
        <v>15</v>
      </c>
      <c r="D3" s="11">
        <v>1.47058823529412</v>
      </c>
      <c r="E3" s="11">
        <v>2.12765957446809</v>
      </c>
      <c r="F3" s="11">
        <v>0</v>
      </c>
      <c r="G3" t="s">
        <v>19</v>
      </c>
      <c r="H3" t="s">
        <v>20</v>
      </c>
    </row>
    <row r="4" spans="1:8" x14ac:dyDescent="0.25">
      <c r="A4" t="s">
        <v>21</v>
      </c>
      <c r="B4" t="s">
        <v>14</v>
      </c>
      <c r="C4" t="s">
        <v>15</v>
      </c>
      <c r="D4" s="11">
        <v>1.47058823529412</v>
      </c>
      <c r="E4" s="11">
        <v>4.2553191489361701</v>
      </c>
      <c r="F4" s="11">
        <v>3.8461538461538498</v>
      </c>
      <c r="G4" t="s">
        <v>22</v>
      </c>
      <c r="H4" t="s">
        <v>23</v>
      </c>
    </row>
    <row r="5" spans="1:8" x14ac:dyDescent="0.25">
      <c r="A5" t="s">
        <v>24</v>
      </c>
      <c r="B5" t="s">
        <v>14</v>
      </c>
      <c r="C5" t="s">
        <v>15</v>
      </c>
      <c r="D5" s="6">
        <v>100</v>
      </c>
      <c r="E5" s="6">
        <v>99.98</v>
      </c>
      <c r="F5" s="6">
        <v>99.97</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0.91</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0.4</v>
      </c>
      <c r="E10" s="6">
        <v>0.5</v>
      </c>
      <c r="F10" s="6">
        <v>1.4</v>
      </c>
      <c r="G10" t="s">
        <v>58</v>
      </c>
      <c r="H10" t="s">
        <v>59</v>
      </c>
    </row>
    <row r="11" spans="1:8" x14ac:dyDescent="0.25">
      <c r="A11" t="s">
        <v>63</v>
      </c>
      <c r="B11" t="s">
        <v>64</v>
      </c>
      <c r="C11" t="s">
        <v>61</v>
      </c>
      <c r="D11" s="5">
        <v>8.8101896378906108</v>
      </c>
      <c r="E11" s="5">
        <v>10.379782509644</v>
      </c>
      <c r="F11" s="5">
        <v>12.2397613859321</v>
      </c>
      <c r="G11" t="s">
        <v>35</v>
      </c>
      <c r="H11" t="s">
        <v>65</v>
      </c>
    </row>
    <row r="12" spans="1:8" x14ac:dyDescent="0.25">
      <c r="A12" t="s">
        <v>66</v>
      </c>
      <c r="B12" t="s">
        <v>14</v>
      </c>
      <c r="C12" t="s">
        <v>61</v>
      </c>
      <c r="D12" s="6">
        <v>43.93</v>
      </c>
      <c r="E12" s="6">
        <v>33.25</v>
      </c>
      <c r="F12" s="6">
        <v>29.34</v>
      </c>
      <c r="G12" t="s">
        <v>39</v>
      </c>
      <c r="H12" t="s">
        <v>67</v>
      </c>
    </row>
    <row r="13" spans="1:8" x14ac:dyDescent="0.25">
      <c r="A13" t="s">
        <v>68</v>
      </c>
      <c r="B13" t="s">
        <v>14</v>
      </c>
      <c r="C13" t="s">
        <v>61</v>
      </c>
      <c r="D13" s="6">
        <v>92.23</v>
      </c>
      <c r="E13" s="6">
        <v>87.73</v>
      </c>
      <c r="F13" s="6">
        <v>84.19</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5.0599999999999996</v>
      </c>
      <c r="E15" s="6">
        <v>5.46</v>
      </c>
      <c r="F15" s="6">
        <v>6.96</v>
      </c>
      <c r="G15" t="s">
        <v>93</v>
      </c>
      <c r="H15" t="s">
        <v>94</v>
      </c>
    </row>
    <row r="16" spans="1:8" x14ac:dyDescent="0.25">
      <c r="A16" t="s">
        <v>95</v>
      </c>
      <c r="B16" t="s">
        <v>59</v>
      </c>
      <c r="C16" t="s">
        <v>34</v>
      </c>
      <c r="D16" s="6">
        <v>0.86</v>
      </c>
      <c r="E16" s="6">
        <v>0.84</v>
      </c>
      <c r="F16" s="6">
        <v>0.96</v>
      </c>
      <c r="G16" t="s">
        <v>96</v>
      </c>
      <c r="H16" t="s">
        <v>59</v>
      </c>
    </row>
    <row r="17" spans="1:8" x14ac:dyDescent="0.25">
      <c r="A17" t="s">
        <v>97</v>
      </c>
      <c r="B17" t="s">
        <v>98</v>
      </c>
      <c r="C17" t="s">
        <v>34</v>
      </c>
      <c r="D17" s="6">
        <v>97</v>
      </c>
      <c r="E17" s="6">
        <v>90</v>
      </c>
      <c r="F17" s="6">
        <v>97</v>
      </c>
      <c r="G17" t="s">
        <v>99</v>
      </c>
      <c r="H17" t="s">
        <v>59</v>
      </c>
    </row>
    <row r="18" spans="1:8" x14ac:dyDescent="0.25">
      <c r="A18" t="s">
        <v>104</v>
      </c>
      <c r="B18" t="s">
        <v>105</v>
      </c>
      <c r="C18" t="s">
        <v>15</v>
      </c>
      <c r="D18" s="6">
        <v>66</v>
      </c>
      <c r="E18" s="6">
        <v>66</v>
      </c>
      <c r="F18" s="6">
        <v>66</v>
      </c>
      <c r="G18" t="s">
        <v>58</v>
      </c>
      <c r="H18" t="s">
        <v>59</v>
      </c>
    </row>
    <row r="19" spans="1:8" x14ac:dyDescent="0.25">
      <c r="A19" t="s">
        <v>106</v>
      </c>
      <c r="B19" t="s">
        <v>105</v>
      </c>
      <c r="C19" t="s">
        <v>15</v>
      </c>
      <c r="D19" s="6">
        <v>68</v>
      </c>
      <c r="E19" s="6">
        <v>66</v>
      </c>
      <c r="F19" s="6">
        <v>38</v>
      </c>
      <c r="G19" t="s">
        <v>58</v>
      </c>
      <c r="H19" t="s">
        <v>59</v>
      </c>
    </row>
    <row r="20" spans="1:8" x14ac:dyDescent="0.25">
      <c r="A20" t="s">
        <v>107</v>
      </c>
      <c r="B20" t="s">
        <v>14</v>
      </c>
      <c r="C20" t="s">
        <v>15</v>
      </c>
      <c r="D20" s="6">
        <v>120.58</v>
      </c>
      <c r="E20" s="6">
        <v>135.97</v>
      </c>
      <c r="F20" s="6">
        <v>144.87</v>
      </c>
      <c r="G20" t="s">
        <v>58</v>
      </c>
      <c r="H20" t="s">
        <v>108</v>
      </c>
    </row>
    <row r="21" spans="1:8" x14ac:dyDescent="0.25">
      <c r="A21" t="s">
        <v>112</v>
      </c>
      <c r="B21" t="s">
        <v>59</v>
      </c>
      <c r="C21" t="s">
        <v>102</v>
      </c>
      <c r="D21" s="5">
        <f t="shared" ref="D21:F21" si="0">D43/D19</f>
        <v>0.16176470588235295</v>
      </c>
      <c r="E21" s="5">
        <f t="shared" si="0"/>
        <v>0.15151515151515152</v>
      </c>
      <c r="F21" s="5">
        <f t="shared" si="0"/>
        <v>0.18421052631578946</v>
      </c>
      <c r="G21" t="s">
        <v>110</v>
      </c>
      <c r="H21" t="s">
        <v>113</v>
      </c>
    </row>
    <row r="22" spans="1:8" x14ac:dyDescent="0.25">
      <c r="A22" t="s">
        <v>114</v>
      </c>
      <c r="B22" t="s">
        <v>59</v>
      </c>
      <c r="C22" t="s">
        <v>102</v>
      </c>
      <c r="D22" s="5">
        <f t="shared" ref="D22:F22" si="1">D44/D19</f>
        <v>0.47058823529411764</v>
      </c>
      <c r="E22" s="5">
        <f t="shared" si="1"/>
        <v>0.37878787878787878</v>
      </c>
      <c r="F22" s="5">
        <f t="shared" si="1"/>
        <v>0.57894736842105265</v>
      </c>
      <c r="G22" t="s">
        <v>110</v>
      </c>
      <c r="H22" t="s">
        <v>115</v>
      </c>
    </row>
    <row r="23" spans="1:8" x14ac:dyDescent="0.25">
      <c r="A23" t="s">
        <v>116</v>
      </c>
      <c r="B23" t="s">
        <v>117</v>
      </c>
      <c r="C23" t="s">
        <v>118</v>
      </c>
      <c r="D23" s="18">
        <v>15.009368800000001</v>
      </c>
      <c r="E23" s="5">
        <v>13.3720432777778</v>
      </c>
      <c r="F23" s="5">
        <v>13.4578491935484</v>
      </c>
      <c r="G23" t="s">
        <v>119</v>
      </c>
      <c r="H23" t="s">
        <v>59</v>
      </c>
    </row>
    <row r="24" spans="1:8" x14ac:dyDescent="0.25">
      <c r="A24" t="s">
        <v>120</v>
      </c>
      <c r="B24" t="s">
        <v>117</v>
      </c>
      <c r="C24" t="s">
        <v>118</v>
      </c>
      <c r="D24" s="18">
        <v>52.042357764705898</v>
      </c>
      <c r="E24" s="5">
        <v>44.835849055555599</v>
      </c>
      <c r="F24" s="5">
        <v>36.424764548387103</v>
      </c>
      <c r="G24" t="s">
        <v>121</v>
      </c>
      <c r="H24" t="s">
        <v>59</v>
      </c>
    </row>
    <row r="25" spans="1:8" x14ac:dyDescent="0.25">
      <c r="A25" t="s">
        <v>122</v>
      </c>
      <c r="B25" t="s">
        <v>117</v>
      </c>
      <c r="C25" t="s">
        <v>118</v>
      </c>
      <c r="D25" s="5">
        <v>9.4727973566973596</v>
      </c>
      <c r="E25" s="5">
        <v>9.6859870824949699</v>
      </c>
      <c r="F25" s="5">
        <v>10.978771710526299</v>
      </c>
      <c r="G25" t="s">
        <v>123</v>
      </c>
      <c r="H25" t="s">
        <v>59</v>
      </c>
    </row>
    <row r="26" spans="1:8" x14ac:dyDescent="0.25">
      <c r="A26" t="s">
        <v>124</v>
      </c>
      <c r="B26" t="s">
        <v>117</v>
      </c>
      <c r="C26" t="s">
        <v>118</v>
      </c>
      <c r="D26" s="5">
        <v>32.8452658895159</v>
      </c>
      <c r="E26" s="5">
        <v>32.476671348088502</v>
      </c>
      <c r="F26" s="5">
        <v>29.7149395</v>
      </c>
      <c r="G26" t="s">
        <v>125</v>
      </c>
      <c r="H26" t="s">
        <v>59</v>
      </c>
    </row>
    <row r="27" spans="1:8" x14ac:dyDescent="0.25">
      <c r="A27" t="s">
        <v>126</v>
      </c>
      <c r="B27" t="s">
        <v>127</v>
      </c>
      <c r="C27" t="s">
        <v>118</v>
      </c>
      <c r="D27" s="5">
        <v>7.3820672478206699</v>
      </c>
      <c r="E27" s="5">
        <v>6.77671232876712</v>
      </c>
      <c r="F27" s="5">
        <v>7.8641878669275904</v>
      </c>
      <c r="G27" t="s">
        <v>39</v>
      </c>
      <c r="H27" t="s">
        <v>128</v>
      </c>
    </row>
    <row r="28" spans="1:8" x14ac:dyDescent="0.25">
      <c r="A28" t="s">
        <v>129</v>
      </c>
      <c r="B28" t="s">
        <v>14</v>
      </c>
      <c r="C28" t="s">
        <v>118</v>
      </c>
      <c r="D28" s="5">
        <v>11.9061054607795</v>
      </c>
      <c r="E28" s="5">
        <v>11.4238060558774</v>
      </c>
      <c r="F28" s="5">
        <v>14.043303135241301</v>
      </c>
      <c r="G28" t="s">
        <v>130</v>
      </c>
      <c r="H28" t="s">
        <v>131</v>
      </c>
    </row>
    <row r="29" spans="1:8" x14ac:dyDescent="0.25">
      <c r="A29" t="s">
        <v>132</v>
      </c>
      <c r="B29" t="s">
        <v>117</v>
      </c>
      <c r="C29" t="s">
        <v>118</v>
      </c>
      <c r="D29" s="5">
        <v>5357.7399939999996</v>
      </c>
      <c r="E29" s="5">
        <v>4213.9507240000003</v>
      </c>
      <c r="F29" s="5">
        <v>2970.7635089999999</v>
      </c>
      <c r="G29" t="s">
        <v>59</v>
      </c>
      <c r="H29" t="s">
        <v>133</v>
      </c>
    </row>
    <row r="30" spans="1:8" x14ac:dyDescent="0.25">
      <c r="A30" t="s">
        <v>134</v>
      </c>
      <c r="B30" t="s">
        <v>117</v>
      </c>
      <c r="C30" t="s">
        <v>118</v>
      </c>
      <c r="D30" s="5">
        <v>637.89817400000004</v>
      </c>
      <c r="E30" s="5">
        <v>481.39355799999998</v>
      </c>
      <c r="F30" s="5">
        <v>417.19332500000002</v>
      </c>
      <c r="G30" t="s">
        <v>59</v>
      </c>
      <c r="H30" t="s">
        <v>59</v>
      </c>
    </row>
    <row r="31" spans="1:8" x14ac:dyDescent="0.25">
      <c r="A31" t="s">
        <v>135</v>
      </c>
      <c r="B31" t="s">
        <v>117</v>
      </c>
      <c r="C31" t="s">
        <v>118</v>
      </c>
      <c r="D31" s="5">
        <v>2211.800205</v>
      </c>
      <c r="E31" s="5">
        <v>1614.0905660000001</v>
      </c>
      <c r="F31" s="5">
        <v>1129.1677010000001</v>
      </c>
      <c r="G31" t="s">
        <v>59</v>
      </c>
      <c r="H31" t="s">
        <v>136</v>
      </c>
    </row>
    <row r="32" spans="1:8" x14ac:dyDescent="0.25">
      <c r="A32" t="s">
        <v>216</v>
      </c>
      <c r="B32" t="s">
        <v>117</v>
      </c>
      <c r="D32" s="17">
        <v>4126.76</v>
      </c>
      <c r="E32" s="17">
        <v>3307.97</v>
      </c>
      <c r="F32" s="17">
        <v>2469.91</v>
      </c>
    </row>
    <row r="33" spans="1:8" x14ac:dyDescent="0.25">
      <c r="A33" t="s">
        <v>143</v>
      </c>
      <c r="B33" t="s">
        <v>14</v>
      </c>
      <c r="D33" s="15">
        <v>-13.79</v>
      </c>
      <c r="E33" s="15">
        <v>-5.72</v>
      </c>
      <c r="F33" s="15">
        <v>-3.68</v>
      </c>
    </row>
    <row r="34" spans="1:8" x14ac:dyDescent="0.25">
      <c r="A34" t="s">
        <v>137</v>
      </c>
      <c r="B34" t="s">
        <v>138</v>
      </c>
      <c r="C34" t="s">
        <v>139</v>
      </c>
      <c r="D34" s="6"/>
      <c r="E34" s="6"/>
      <c r="F34" s="6"/>
      <c r="G34" t="s">
        <v>35</v>
      </c>
      <c r="H34" t="s">
        <v>140</v>
      </c>
    </row>
    <row r="35" spans="1:8" x14ac:dyDescent="0.25">
      <c r="A35" t="s">
        <v>217</v>
      </c>
      <c r="B35" t="s">
        <v>14</v>
      </c>
      <c r="C35" t="s">
        <v>118</v>
      </c>
      <c r="D35" s="5">
        <v>12.962103065429201</v>
      </c>
      <c r="E35" s="5">
        <v>8.1721000921699396</v>
      </c>
      <c r="F35" s="5">
        <v>5.9824673172932803</v>
      </c>
      <c r="G35" t="s">
        <v>22</v>
      </c>
      <c r="H35" t="s">
        <v>218</v>
      </c>
    </row>
    <row r="36" spans="1:8" x14ac:dyDescent="0.25">
      <c r="A36" t="s">
        <v>219</v>
      </c>
      <c r="B36" t="s">
        <v>14</v>
      </c>
      <c r="C36" t="s">
        <v>118</v>
      </c>
      <c r="D36" s="5">
        <v>87.037896934570796</v>
      </c>
      <c r="E36" s="5">
        <v>91.827899907830101</v>
      </c>
      <c r="F36" s="5">
        <v>94.017532682706701</v>
      </c>
      <c r="G36" t="s">
        <v>22</v>
      </c>
      <c r="H36" t="s">
        <v>220</v>
      </c>
    </row>
    <row r="37" spans="1:8" x14ac:dyDescent="0.25">
      <c r="A37" t="s">
        <v>144</v>
      </c>
      <c r="B37" t="s">
        <v>14</v>
      </c>
      <c r="C37" t="s">
        <v>118</v>
      </c>
      <c r="D37" s="5">
        <v>27.142919908524298</v>
      </c>
      <c r="E37" s="5">
        <v>41.847397520325501</v>
      </c>
      <c r="F37" s="5">
        <v>58.153047425035297</v>
      </c>
      <c r="G37" t="s">
        <v>35</v>
      </c>
      <c r="H37" t="s">
        <v>145</v>
      </c>
    </row>
    <row r="38" spans="1:8" x14ac:dyDescent="0.25">
      <c r="A38" t="s">
        <v>146</v>
      </c>
      <c r="B38" t="s">
        <v>14</v>
      </c>
      <c r="C38" t="s">
        <v>118</v>
      </c>
      <c r="D38" s="5">
        <v>40.986369878363803</v>
      </c>
      <c r="E38" s="5">
        <v>61.375718925179399</v>
      </c>
      <c r="F38" s="5">
        <v>4.6561209472751797</v>
      </c>
      <c r="G38" t="s">
        <v>35</v>
      </c>
      <c r="H38" t="s">
        <v>147</v>
      </c>
    </row>
    <row r="39" spans="1:8" x14ac:dyDescent="0.25">
      <c r="A39" t="s">
        <v>148</v>
      </c>
      <c r="B39" t="s">
        <v>14</v>
      </c>
      <c r="C39" t="s">
        <v>118</v>
      </c>
      <c r="D39" s="5">
        <v>-6.7889770729841201</v>
      </c>
      <c r="E39" s="5">
        <v>-11.7099913895672</v>
      </c>
      <c r="F39" s="5">
        <v>18.5078273477674</v>
      </c>
      <c r="G39" t="s">
        <v>35</v>
      </c>
      <c r="H39" t="s">
        <v>149</v>
      </c>
    </row>
    <row r="40" spans="1:8" x14ac:dyDescent="0.25">
      <c r="A40" t="s">
        <v>150</v>
      </c>
      <c r="B40" t="s">
        <v>14</v>
      </c>
      <c r="C40" t="s">
        <v>118</v>
      </c>
      <c r="D40" s="5">
        <v>76.693345949050595</v>
      </c>
      <c r="E40" s="5">
        <v>243.661683695736</v>
      </c>
      <c r="F40" s="5">
        <v>-4.5648625161539398</v>
      </c>
      <c r="G40" t="s">
        <v>35</v>
      </c>
      <c r="H40" t="s">
        <v>151</v>
      </c>
    </row>
    <row r="41" spans="1:8" x14ac:dyDescent="0.25">
      <c r="A41" t="s">
        <v>152</v>
      </c>
      <c r="B41" t="s">
        <v>14</v>
      </c>
      <c r="C41" t="s">
        <v>118</v>
      </c>
      <c r="D41" s="5">
        <v>-15.137477627582999</v>
      </c>
      <c r="E41" s="5">
        <v>-14.571861256727599</v>
      </c>
      <c r="F41" s="5">
        <v>53.032279212555203</v>
      </c>
      <c r="G41" t="s">
        <v>35</v>
      </c>
      <c r="H41" t="s">
        <v>153</v>
      </c>
    </row>
    <row r="42" spans="1:8" x14ac:dyDescent="0.25">
      <c r="A42" t="s">
        <v>164</v>
      </c>
      <c r="B42" t="s">
        <v>59</v>
      </c>
      <c r="C42" t="s">
        <v>102</v>
      </c>
      <c r="D42" s="6">
        <v>0.34</v>
      </c>
      <c r="E42" s="6">
        <v>0.4</v>
      </c>
      <c r="F42" s="6">
        <v>0.32</v>
      </c>
      <c r="G42" t="s">
        <v>165</v>
      </c>
      <c r="H42" t="s">
        <v>166</v>
      </c>
    </row>
    <row r="43" spans="1:8" x14ac:dyDescent="0.25">
      <c r="A43" t="s">
        <v>167</v>
      </c>
      <c r="B43" t="s">
        <v>101</v>
      </c>
      <c r="C43" t="s">
        <v>102</v>
      </c>
      <c r="D43" s="6">
        <v>11</v>
      </c>
      <c r="E43" s="6">
        <v>10</v>
      </c>
      <c r="F43" s="6">
        <v>7</v>
      </c>
      <c r="G43" t="s">
        <v>168</v>
      </c>
      <c r="H43" t="s">
        <v>59</v>
      </c>
    </row>
    <row r="44" spans="1:8" x14ac:dyDescent="0.25">
      <c r="A44" t="s">
        <v>169</v>
      </c>
      <c r="B44" t="s">
        <v>101</v>
      </c>
      <c r="C44" t="s">
        <v>102</v>
      </c>
      <c r="D44" s="6">
        <v>32</v>
      </c>
      <c r="E44" s="6">
        <v>25</v>
      </c>
      <c r="F44" s="6">
        <v>22</v>
      </c>
      <c r="G44" t="s">
        <v>168</v>
      </c>
      <c r="H44" t="s">
        <v>59</v>
      </c>
    </row>
    <row r="45" spans="1:8" x14ac:dyDescent="0.25">
      <c r="A45" t="s">
        <v>221</v>
      </c>
      <c r="B45" t="s">
        <v>14</v>
      </c>
      <c r="C45" t="s">
        <v>102</v>
      </c>
      <c r="D45" s="6">
        <v>36.36</v>
      </c>
      <c r="E45" s="6">
        <v>40</v>
      </c>
      <c r="F45" s="6">
        <v>42.86</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63.64</v>
      </c>
      <c r="E47" s="6">
        <v>60</v>
      </c>
      <c r="F47" s="6">
        <v>57.14</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6902358.8372093001</v>
      </c>
      <c r="E51" s="6">
        <v>28571.428571428602</v>
      </c>
      <c r="F51" s="6">
        <v>4614216.4137931</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0.182</v>
      </c>
      <c r="E54" s="6">
        <v>0.1</v>
      </c>
      <c r="F54" s="6">
        <v>0</v>
      </c>
      <c r="G54" t="s">
        <v>205</v>
      </c>
      <c r="H54" t="s">
        <v>59</v>
      </c>
    </row>
    <row r="55" spans="1:8" x14ac:dyDescent="0.25">
      <c r="A55" t="s">
        <v>206</v>
      </c>
      <c r="B55" t="s">
        <v>207</v>
      </c>
      <c r="C55" t="s">
        <v>176</v>
      </c>
      <c r="D55" s="6">
        <v>1.135</v>
      </c>
      <c r="E55" s="6">
        <v>0.26500000000000001</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1.34125636672326</v>
      </c>
      <c r="E58" s="9">
        <v>1.32206328565236</v>
      </c>
      <c r="F58" s="9">
        <v>1.98562136254707</v>
      </c>
      <c r="G58" t="s">
        <v>59</v>
      </c>
      <c r="H58" t="s">
        <v>213</v>
      </c>
    </row>
    <row r="59" spans="1:8" x14ac:dyDescent="0.25">
      <c r="A59" t="s">
        <v>214</v>
      </c>
      <c r="B59" t="s">
        <v>14</v>
      </c>
      <c r="C59" t="s">
        <v>15</v>
      </c>
      <c r="D59" s="5">
        <v>5.0933786078098502E-2</v>
      </c>
      <c r="E59" s="5">
        <v>0.54182921543129603</v>
      </c>
      <c r="F59" s="5">
        <v>0.34234851078397799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[1]肿瘤内科!$O$4</f>
        <v>为肿瘤化学治疗疗程</v>
      </c>
      <c r="E72" s="10" t="str">
        <f>[1]肿瘤内科!$I$4</f>
        <v>为肿瘤化学治疗疗程</v>
      </c>
      <c r="F72" s="10" t="str">
        <f>[1]肿瘤内科!$C$4</f>
        <v>为肿瘤化学治疗疗程</v>
      </c>
      <c r="G72" t="s">
        <v>59</v>
      </c>
      <c r="H72" t="s">
        <v>59</v>
      </c>
    </row>
    <row r="73" spans="1:8" x14ac:dyDescent="0.25">
      <c r="A73" t="s">
        <v>241</v>
      </c>
      <c r="B73" t="s">
        <v>59</v>
      </c>
      <c r="C73" t="s">
        <v>90</v>
      </c>
      <c r="D73" s="10" t="str">
        <f>[1]肿瘤内科!$N$4</f>
        <v>Z51.1</v>
      </c>
      <c r="E73" s="10" t="str">
        <f>[1]肿瘤内科!$H$4</f>
        <v>Z51.1</v>
      </c>
      <c r="F73" s="10" t="str">
        <f>[1]肿瘤内科!$B$4</f>
        <v>Z51.1</v>
      </c>
      <c r="G73" t="s">
        <v>59</v>
      </c>
      <c r="H73" t="s">
        <v>59</v>
      </c>
    </row>
    <row r="74" spans="1:8" x14ac:dyDescent="0.25">
      <c r="A74" t="s">
        <v>242</v>
      </c>
      <c r="B74" t="s">
        <v>14</v>
      </c>
      <c r="C74" t="s">
        <v>90</v>
      </c>
      <c r="D74" s="10">
        <f>[1]肿瘤内科!$Q$4</f>
        <v>57.3853989813243</v>
      </c>
      <c r="E74" s="10">
        <f>[1]肿瘤内科!$K$4</f>
        <v>56.545296922410103</v>
      </c>
      <c r="F74" s="10">
        <f>[1]肿瘤内科!$E$4</f>
        <v>50.085587127696002</v>
      </c>
      <c r="G74" t="s">
        <v>59</v>
      </c>
      <c r="H74" t="s">
        <v>59</v>
      </c>
    </row>
    <row r="75" spans="1:8" x14ac:dyDescent="0.25">
      <c r="A75" t="s">
        <v>243</v>
      </c>
      <c r="B75" t="s">
        <v>59</v>
      </c>
      <c r="C75" t="s">
        <v>90</v>
      </c>
      <c r="D75" s="10" t="str">
        <f>[1]肿瘤内科!$O$5</f>
        <v>恶性肿瘤靶向治疗</v>
      </c>
      <c r="E75" s="10" t="str">
        <f>[1]肿瘤内科!$I$5</f>
        <v>恶性肿瘤靶向治疗</v>
      </c>
      <c r="F75" s="10" t="str">
        <f>[1]肿瘤内科!$C$5</f>
        <v>恶性肿瘤靶向治疗</v>
      </c>
      <c r="G75" t="s">
        <v>59</v>
      </c>
      <c r="H75" t="s">
        <v>59</v>
      </c>
    </row>
    <row r="76" spans="1:8" x14ac:dyDescent="0.25">
      <c r="A76" t="s">
        <v>244</v>
      </c>
      <c r="B76" t="s">
        <v>59</v>
      </c>
      <c r="C76" t="s">
        <v>90</v>
      </c>
      <c r="D76" s="10" t="str">
        <f>[1]肿瘤内科!$N$5</f>
        <v>Z51.801</v>
      </c>
      <c r="E76" s="10" t="str">
        <f>[1]肿瘤内科!$H$5</f>
        <v>Z51.801</v>
      </c>
      <c r="F76" s="10" t="str">
        <f>[1]肿瘤内科!$B$5</f>
        <v>Z51.801</v>
      </c>
      <c r="G76" t="s">
        <v>59</v>
      </c>
      <c r="H76" t="s">
        <v>59</v>
      </c>
    </row>
    <row r="77" spans="1:8" x14ac:dyDescent="0.25">
      <c r="A77" t="s">
        <v>245</v>
      </c>
      <c r="B77" t="s">
        <v>14</v>
      </c>
      <c r="C77" t="s">
        <v>90</v>
      </c>
      <c r="D77" s="10">
        <f>[1]肿瘤内科!$Q$5</f>
        <v>20.509337860780999</v>
      </c>
      <c r="E77" s="10">
        <f>[1]肿瘤内科!$K$5</f>
        <v>6.6753359341135701</v>
      </c>
      <c r="F77" s="10">
        <f>[1]肿瘤内科!$E$5</f>
        <v>14.275932899691901</v>
      </c>
      <c r="G77" t="s">
        <v>59</v>
      </c>
      <c r="H77" t="s">
        <v>59</v>
      </c>
    </row>
    <row r="78" spans="1:8" x14ac:dyDescent="0.25">
      <c r="A78" t="s">
        <v>246</v>
      </c>
      <c r="B78" t="s">
        <v>59</v>
      </c>
      <c r="C78" t="s">
        <v>90</v>
      </c>
      <c r="D78" s="10" t="str">
        <f>[1]肿瘤内科!$O$6</f>
        <v>恶性肿瘤免疫治疗</v>
      </c>
      <c r="E78" s="10" t="str">
        <f>[1]肿瘤内科!$I$6</f>
        <v>肺恶性肿瘤</v>
      </c>
      <c r="F78" s="10" t="str">
        <f>[1]肿瘤内科!$C$6</f>
        <v>肺恶性肿瘤</v>
      </c>
      <c r="G78" t="s">
        <v>59</v>
      </c>
      <c r="H78" t="s">
        <v>59</v>
      </c>
    </row>
    <row r="79" spans="1:8" x14ac:dyDescent="0.25">
      <c r="A79" t="s">
        <v>247</v>
      </c>
      <c r="B79" t="s">
        <v>59</v>
      </c>
      <c r="C79" t="s">
        <v>90</v>
      </c>
      <c r="D79" s="10" t="str">
        <f>[1]肿瘤内科!$N$6</f>
        <v>Z51.800x095</v>
      </c>
      <c r="E79" s="10" t="str">
        <f>[1]肿瘤内科!$H$6</f>
        <v>C34</v>
      </c>
      <c r="F79" s="10" t="str">
        <f>[1]肿瘤内科!$B$6</f>
        <v>C34</v>
      </c>
      <c r="G79" t="s">
        <v>59</v>
      </c>
      <c r="H79" t="s">
        <v>59</v>
      </c>
    </row>
    <row r="80" spans="1:8" x14ac:dyDescent="0.25">
      <c r="A80" t="s">
        <v>248</v>
      </c>
      <c r="B80" t="s">
        <v>14</v>
      </c>
      <c r="C80" t="s">
        <v>90</v>
      </c>
      <c r="D80" s="10">
        <f>[1]肿瘤内科!$Q$6</f>
        <v>5.4668930390492401</v>
      </c>
      <c r="E80" s="10">
        <f>[1]肿瘤内科!$K$6</f>
        <v>2.9475509319462501</v>
      </c>
      <c r="F80" s="10">
        <f>[1]肿瘤内科!$E$6</f>
        <v>5.7856898322492301</v>
      </c>
      <c r="G80" t="s">
        <v>59</v>
      </c>
      <c r="H80" t="s">
        <v>59</v>
      </c>
    </row>
    <row r="81" spans="1:8" x14ac:dyDescent="0.25">
      <c r="A81" t="s">
        <v>249</v>
      </c>
      <c r="B81" t="s">
        <v>59</v>
      </c>
      <c r="C81" t="s">
        <v>90</v>
      </c>
      <c r="D81" s="10" t="str">
        <f>[1]肿瘤内科!$O$7</f>
        <v>肺恶性肿瘤</v>
      </c>
      <c r="E81" s="10" t="str">
        <f>[1]肿瘤内科!$I$7</f>
        <v>肿瘤内分泌治疗</v>
      </c>
      <c r="F81" s="10" t="str">
        <f>[1]肿瘤内科!$C$7</f>
        <v>肿瘤内分泌治疗</v>
      </c>
      <c r="G81" t="s">
        <v>59</v>
      </c>
      <c r="H81" t="s">
        <v>59</v>
      </c>
    </row>
    <row r="82" spans="1:8" x14ac:dyDescent="0.25">
      <c r="A82" t="s">
        <v>250</v>
      </c>
      <c r="B82" t="s">
        <v>59</v>
      </c>
      <c r="C82" t="s">
        <v>90</v>
      </c>
      <c r="D82" s="10" t="str">
        <f>[1]肿瘤内科!$N$7</f>
        <v>C34</v>
      </c>
      <c r="E82" s="10" t="str">
        <f>[1]肿瘤内科!$H$7</f>
        <v>Z51.804</v>
      </c>
      <c r="F82" s="10" t="str">
        <f>[1]肿瘤内科!$B$7</f>
        <v>Z51.804</v>
      </c>
      <c r="G82" t="s">
        <v>59</v>
      </c>
      <c r="H82" t="s">
        <v>59</v>
      </c>
    </row>
    <row r="83" spans="1:8" x14ac:dyDescent="0.25">
      <c r="A83" t="s">
        <v>251</v>
      </c>
      <c r="B83" t="s">
        <v>14</v>
      </c>
      <c r="C83" t="s">
        <v>90</v>
      </c>
      <c r="D83" s="10">
        <f>[1]肿瘤内科!$Q$7</f>
        <v>2.4787775891341299</v>
      </c>
      <c r="E83" s="10">
        <f>[1]肿瘤内科!$K$7</f>
        <v>1.6038144776766401</v>
      </c>
      <c r="F83" s="10">
        <f>[1]肿瘤内科!$E$7</f>
        <v>4.5874700445053103</v>
      </c>
      <c r="G83" t="s">
        <v>59</v>
      </c>
      <c r="H83" t="s">
        <v>59</v>
      </c>
    </row>
    <row r="84" spans="1:8" x14ac:dyDescent="0.25">
      <c r="A84" t="s">
        <v>252</v>
      </c>
      <c r="B84" t="s">
        <v>59</v>
      </c>
      <c r="C84" t="s">
        <v>90</v>
      </c>
      <c r="D84" s="10" t="str">
        <f>[1]肿瘤内科!$O$8</f>
        <v>恶性肿瘤内分泌治疗</v>
      </c>
      <c r="E84" s="10" t="str">
        <f>[1]肿瘤内科!$I$8</f>
        <v>肝和肝内胆管恶性肿瘤</v>
      </c>
      <c r="F84" s="10" t="str">
        <f>[1]肿瘤内科!$C$8</f>
        <v>肿瘤术后免疫治疗</v>
      </c>
      <c r="G84" t="s">
        <v>59</v>
      </c>
      <c r="H84" t="s">
        <v>59</v>
      </c>
    </row>
    <row r="85" spans="1:8" x14ac:dyDescent="0.25">
      <c r="A85" t="s">
        <v>253</v>
      </c>
      <c r="B85" t="s">
        <v>59</v>
      </c>
      <c r="C85" t="s">
        <v>90</v>
      </c>
      <c r="D85" s="10" t="str">
        <f>[1]肿瘤内科!$N$8</f>
        <v>Z51.800x094</v>
      </c>
      <c r="E85" s="10" t="str">
        <f>[1]肿瘤内科!$H$8</f>
        <v>C22</v>
      </c>
      <c r="F85" s="10" t="str">
        <f>[1]肿瘤内科!$B$8</f>
        <v>Z51.805</v>
      </c>
      <c r="G85" t="s">
        <v>59</v>
      </c>
      <c r="H85" t="s">
        <v>59</v>
      </c>
    </row>
    <row r="86" spans="1:8" x14ac:dyDescent="0.25">
      <c r="A86" t="s">
        <v>254</v>
      </c>
      <c r="B86" t="s">
        <v>14</v>
      </c>
      <c r="C86" t="s">
        <v>90</v>
      </c>
      <c r="D86" s="10">
        <f>[1]肿瘤内科!$Q$8</f>
        <v>2.1561969439728399</v>
      </c>
      <c r="E86" s="10">
        <f>[1]肿瘤内科!$K$8</f>
        <v>1.1053315994798401</v>
      </c>
      <c r="F86" s="10">
        <f>[1]肿瘤内科!$E$8</f>
        <v>1.98562136254707</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1:H31 G2:H5 G6:H14 G15:H15 G16:H17 G18:H20 G34:H57 G58:H59 G60:H71 G72:H86 D87:H101 A34:B101 A1:H1" numberStoredAsText="1"/>
  </ignoredError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01"/>
  <sheetViews>
    <sheetView topLeftCell="A1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33.450087565674302</v>
      </c>
      <c r="E2" s="5">
        <v>22.084130019120501</v>
      </c>
      <c r="F2" s="5">
        <v>14.9042464612823</v>
      </c>
      <c r="G2" t="s">
        <v>16</v>
      </c>
      <c r="H2" t="s">
        <v>17</v>
      </c>
    </row>
    <row r="3" spans="1:8" x14ac:dyDescent="0.25">
      <c r="A3" t="s">
        <v>18</v>
      </c>
      <c r="B3" t="s">
        <v>14</v>
      </c>
      <c r="C3" t="s">
        <v>15</v>
      </c>
      <c r="D3" s="6">
        <v>0</v>
      </c>
      <c r="E3" s="6">
        <v>0</v>
      </c>
      <c r="F3" s="6">
        <v>0</v>
      </c>
      <c r="G3" t="s">
        <v>19</v>
      </c>
      <c r="H3" t="s">
        <v>20</v>
      </c>
    </row>
    <row r="4" spans="1:8" x14ac:dyDescent="0.25">
      <c r="A4" t="s">
        <v>21</v>
      </c>
      <c r="B4" t="s">
        <v>14</v>
      </c>
      <c r="C4" t="s">
        <v>15</v>
      </c>
      <c r="D4" s="6">
        <v>0</v>
      </c>
      <c r="E4" s="6">
        <v>0.43290043290043301</v>
      </c>
      <c r="F4" s="6">
        <v>0</v>
      </c>
      <c r="G4" t="s">
        <v>22</v>
      </c>
      <c r="H4" t="s">
        <v>23</v>
      </c>
    </row>
    <row r="5" spans="1:8" x14ac:dyDescent="0.25">
      <c r="A5" t="s">
        <v>24</v>
      </c>
      <c r="B5" t="s">
        <v>14</v>
      </c>
      <c r="C5" t="s">
        <v>15</v>
      </c>
      <c r="D5" s="6">
        <v>90.46</v>
      </c>
      <c r="E5" s="6">
        <v>87.48</v>
      </c>
      <c r="F5" s="6">
        <v>83.35</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0.35</v>
      </c>
      <c r="E10" s="6">
        <v>0.48</v>
      </c>
      <c r="F10" s="6">
        <v>0.25</v>
      </c>
      <c r="G10" t="s">
        <v>58</v>
      </c>
      <c r="H10" t="s">
        <v>59</v>
      </c>
    </row>
    <row r="11" spans="1:8" x14ac:dyDescent="0.25">
      <c r="A11" t="s">
        <v>63</v>
      </c>
      <c r="B11" t="s">
        <v>64</v>
      </c>
      <c r="C11" t="s">
        <v>61</v>
      </c>
      <c r="D11" s="5">
        <v>33.735466299667898</v>
      </c>
      <c r="E11" s="5">
        <v>38.673286692741399</v>
      </c>
      <c r="F11" s="5">
        <v>36.8299202038869</v>
      </c>
      <c r="G11" t="s">
        <v>35</v>
      </c>
      <c r="H11" t="s">
        <v>65</v>
      </c>
    </row>
    <row r="12" spans="1:8" x14ac:dyDescent="0.25">
      <c r="A12" t="s">
        <v>66</v>
      </c>
      <c r="B12" t="s">
        <v>14</v>
      </c>
      <c r="C12" t="s">
        <v>61</v>
      </c>
      <c r="D12" s="6">
        <v>81.95</v>
      </c>
      <c r="E12" s="6">
        <v>84.6</v>
      </c>
      <c r="F12" s="6">
        <v>70.45</v>
      </c>
      <c r="G12" t="s">
        <v>39</v>
      </c>
      <c r="H12" t="s">
        <v>67</v>
      </c>
    </row>
    <row r="13" spans="1:8" x14ac:dyDescent="0.25">
      <c r="A13" t="s">
        <v>68</v>
      </c>
      <c r="B13" t="s">
        <v>14</v>
      </c>
      <c r="C13" t="s">
        <v>61</v>
      </c>
      <c r="D13" s="6">
        <v>99.64</v>
      </c>
      <c r="E13" s="6">
        <v>99.8</v>
      </c>
      <c r="F13" s="6">
        <v>97.74</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6.77</v>
      </c>
      <c r="E15" s="6">
        <v>7.14</v>
      </c>
      <c r="F15" s="6">
        <v>7.02</v>
      </c>
      <c r="G15" t="s">
        <v>93</v>
      </c>
      <c r="H15" t="s">
        <v>94</v>
      </c>
    </row>
    <row r="16" spans="1:8" x14ac:dyDescent="0.25">
      <c r="A16" t="s">
        <v>95</v>
      </c>
      <c r="B16" t="s">
        <v>59</v>
      </c>
      <c r="C16" t="s">
        <v>34</v>
      </c>
      <c r="D16" s="6">
        <v>0.77</v>
      </c>
      <c r="E16" s="6">
        <v>0.71</v>
      </c>
      <c r="F16" s="6">
        <v>0.77</v>
      </c>
      <c r="G16" t="s">
        <v>96</v>
      </c>
      <c r="H16" t="s">
        <v>59</v>
      </c>
    </row>
    <row r="17" spans="1:8" x14ac:dyDescent="0.25">
      <c r="A17" t="s">
        <v>97</v>
      </c>
      <c r="B17" t="s">
        <v>98</v>
      </c>
      <c r="C17" t="s">
        <v>34</v>
      </c>
      <c r="D17" s="6">
        <v>63</v>
      </c>
      <c r="E17" s="6">
        <v>54</v>
      </c>
      <c r="F17" s="6">
        <v>54</v>
      </c>
      <c r="G17" t="s">
        <v>99</v>
      </c>
      <c r="H17" t="s">
        <v>59</v>
      </c>
    </row>
    <row r="18" spans="1:8" x14ac:dyDescent="0.25">
      <c r="A18" t="s">
        <v>104</v>
      </c>
      <c r="B18" t="s">
        <v>105</v>
      </c>
      <c r="C18" t="s">
        <v>15</v>
      </c>
      <c r="D18" s="6">
        <v>22</v>
      </c>
      <c r="E18" s="6">
        <v>22</v>
      </c>
      <c r="F18" s="6">
        <v>22</v>
      </c>
      <c r="G18" t="s">
        <v>58</v>
      </c>
      <c r="H18" t="s">
        <v>59</v>
      </c>
    </row>
    <row r="19" spans="1:8" x14ac:dyDescent="0.25">
      <c r="A19" t="s">
        <v>106</v>
      </c>
      <c r="B19" t="s">
        <v>105</v>
      </c>
      <c r="C19" t="s">
        <v>15</v>
      </c>
      <c r="D19" s="6">
        <v>22</v>
      </c>
      <c r="E19" s="6">
        <v>22</v>
      </c>
      <c r="F19" s="6">
        <v>22</v>
      </c>
      <c r="G19" t="s">
        <v>58</v>
      </c>
      <c r="H19" t="s">
        <v>59</v>
      </c>
    </row>
    <row r="20" spans="1:8" x14ac:dyDescent="0.25">
      <c r="A20" t="s">
        <v>107</v>
      </c>
      <c r="B20" t="s">
        <v>14</v>
      </c>
      <c r="C20" t="s">
        <v>15</v>
      </c>
      <c r="D20" s="6">
        <v>96.96</v>
      </c>
      <c r="E20" s="6">
        <v>92.7</v>
      </c>
      <c r="F20" s="6">
        <v>105.63</v>
      </c>
      <c r="G20" t="s">
        <v>58</v>
      </c>
      <c r="H20" t="s">
        <v>108</v>
      </c>
    </row>
    <row r="21" spans="1:8" x14ac:dyDescent="0.25">
      <c r="A21" t="s">
        <v>112</v>
      </c>
      <c r="B21" t="s">
        <v>59</v>
      </c>
      <c r="C21" t="s">
        <v>102</v>
      </c>
      <c r="D21" s="5">
        <f t="shared" ref="D21:F21" si="0">D43/D19</f>
        <v>0.31818181818181818</v>
      </c>
      <c r="E21" s="5">
        <f t="shared" si="0"/>
        <v>0.36363636363636365</v>
      </c>
      <c r="F21" s="5">
        <f t="shared" si="0"/>
        <v>0.36363636363636365</v>
      </c>
      <c r="G21" t="s">
        <v>110</v>
      </c>
      <c r="H21" t="s">
        <v>113</v>
      </c>
    </row>
    <row r="22" spans="1:8" x14ac:dyDescent="0.25">
      <c r="A22" t="s">
        <v>114</v>
      </c>
      <c r="B22" t="s">
        <v>59</v>
      </c>
      <c r="C22" t="s">
        <v>102</v>
      </c>
      <c r="D22" s="5">
        <f t="shared" ref="D22:F22" si="1">D44/D19</f>
        <v>0.40909090909090912</v>
      </c>
      <c r="E22" s="5">
        <f t="shared" si="1"/>
        <v>0.36363636363636365</v>
      </c>
      <c r="F22" s="5">
        <f t="shared" si="1"/>
        <v>0.36363636363636365</v>
      </c>
      <c r="G22" t="s">
        <v>110</v>
      </c>
      <c r="H22" t="s">
        <v>115</v>
      </c>
    </row>
    <row r="23" spans="1:8" x14ac:dyDescent="0.25">
      <c r="A23" t="s">
        <v>116</v>
      </c>
      <c r="B23" t="s">
        <v>117</v>
      </c>
      <c r="C23" t="s">
        <v>118</v>
      </c>
      <c r="D23" s="5">
        <v>41.808332928571403</v>
      </c>
      <c r="E23" s="5">
        <v>29.4792089230769</v>
      </c>
      <c r="F23" s="5">
        <v>23.679730764705901</v>
      </c>
      <c r="G23" t="s">
        <v>119</v>
      </c>
      <c r="H23" t="s">
        <v>59</v>
      </c>
    </row>
    <row r="24" spans="1:8" x14ac:dyDescent="0.25">
      <c r="A24" t="s">
        <v>120</v>
      </c>
      <c r="B24" t="s">
        <v>117</v>
      </c>
      <c r="C24" t="s">
        <v>118</v>
      </c>
      <c r="D24" s="5">
        <v>59.338926857142901</v>
      </c>
      <c r="E24" s="5">
        <v>40.9264376153846</v>
      </c>
      <c r="F24" s="5">
        <v>32.780265823529398</v>
      </c>
      <c r="G24" t="s">
        <v>121</v>
      </c>
      <c r="H24" t="s">
        <v>59</v>
      </c>
    </row>
    <row r="25" spans="1:8" x14ac:dyDescent="0.25">
      <c r="A25" t="s">
        <v>122</v>
      </c>
      <c r="B25" t="s">
        <v>117</v>
      </c>
      <c r="C25" t="s">
        <v>118</v>
      </c>
      <c r="D25" s="5">
        <v>26.605302772727299</v>
      </c>
      <c r="E25" s="5">
        <v>17.419532545454501</v>
      </c>
      <c r="F25" s="5">
        <v>18.2979737727273</v>
      </c>
      <c r="G25" t="s">
        <v>123</v>
      </c>
      <c r="H25" t="s">
        <v>59</v>
      </c>
    </row>
    <row r="26" spans="1:8" x14ac:dyDescent="0.25">
      <c r="A26" t="s">
        <v>124</v>
      </c>
      <c r="B26" t="s">
        <v>117</v>
      </c>
      <c r="C26" t="s">
        <v>118</v>
      </c>
      <c r="D26" s="5">
        <v>37.761135272727302</v>
      </c>
      <c r="E26" s="5">
        <v>24.183804045454501</v>
      </c>
      <c r="F26" s="5">
        <v>25.330205409090901</v>
      </c>
      <c r="G26" t="s">
        <v>125</v>
      </c>
      <c r="H26" t="s">
        <v>59</v>
      </c>
    </row>
    <row r="27" spans="1:8" x14ac:dyDescent="0.25">
      <c r="A27" t="s">
        <v>126</v>
      </c>
      <c r="B27" t="s">
        <v>127</v>
      </c>
      <c r="C27" t="s">
        <v>118</v>
      </c>
      <c r="D27" s="5">
        <v>3.0473581213307201</v>
      </c>
      <c r="E27" s="5">
        <v>2.5561643835616401</v>
      </c>
      <c r="F27" s="5">
        <v>2.90479452054795</v>
      </c>
      <c r="G27" t="s">
        <v>39</v>
      </c>
      <c r="H27" t="s">
        <v>128</v>
      </c>
    </row>
    <row r="28" spans="1:8" x14ac:dyDescent="0.25">
      <c r="A28" t="s">
        <v>129</v>
      </c>
      <c r="B28" t="s">
        <v>14</v>
      </c>
      <c r="C28" t="s">
        <v>118</v>
      </c>
      <c r="D28" s="5">
        <v>44.273526392666803</v>
      </c>
      <c r="E28" s="5">
        <v>35.990911448057602</v>
      </c>
      <c r="F28" s="5">
        <v>34.249278083141697</v>
      </c>
      <c r="G28" t="s">
        <v>130</v>
      </c>
      <c r="H28" t="s">
        <v>131</v>
      </c>
    </row>
    <row r="29" spans="1:8" x14ac:dyDescent="0.25">
      <c r="A29" t="s">
        <v>132</v>
      </c>
      <c r="B29" t="s">
        <v>117</v>
      </c>
      <c r="C29" t="s">
        <v>118</v>
      </c>
      <c r="D29" s="5">
        <v>1322.0466240000001</v>
      </c>
      <c r="E29" s="5">
        <v>1064.795807</v>
      </c>
      <c r="F29" s="5">
        <v>1175.3690750000001</v>
      </c>
      <c r="G29" t="s">
        <v>59</v>
      </c>
      <c r="H29" t="s">
        <v>133</v>
      </c>
    </row>
    <row r="30" spans="1:8" x14ac:dyDescent="0.25">
      <c r="A30" t="s">
        <v>134</v>
      </c>
      <c r="B30" t="s">
        <v>117</v>
      </c>
      <c r="C30" t="s">
        <v>118</v>
      </c>
      <c r="D30" s="5">
        <v>585.31666099999995</v>
      </c>
      <c r="E30" s="5">
        <v>383.229716</v>
      </c>
      <c r="F30" s="5">
        <v>402.55542300000002</v>
      </c>
      <c r="G30" t="s">
        <v>59</v>
      </c>
      <c r="H30" t="s">
        <v>59</v>
      </c>
    </row>
    <row r="31" spans="1:8" x14ac:dyDescent="0.25">
      <c r="A31" t="s">
        <v>135</v>
      </c>
      <c r="B31" t="s">
        <v>117</v>
      </c>
      <c r="C31" t="s">
        <v>118</v>
      </c>
      <c r="D31" s="5">
        <v>830.74497599999995</v>
      </c>
      <c r="E31" s="5">
        <v>532.04368899999997</v>
      </c>
      <c r="F31" s="5">
        <v>557.26451899999995</v>
      </c>
      <c r="G31" t="s">
        <v>59</v>
      </c>
      <c r="H31" t="s">
        <v>136</v>
      </c>
    </row>
    <row r="32" spans="1:8" x14ac:dyDescent="0.25">
      <c r="A32" t="s">
        <v>216</v>
      </c>
      <c r="B32" t="s">
        <v>117</v>
      </c>
      <c r="D32" s="17">
        <v>957.16</v>
      </c>
      <c r="E32" s="17">
        <v>939.33</v>
      </c>
      <c r="F32" s="17">
        <v>931.57</v>
      </c>
    </row>
    <row r="33" spans="1:8" x14ac:dyDescent="0.25">
      <c r="A33" t="s">
        <v>143</v>
      </c>
      <c r="B33" t="s">
        <v>14</v>
      </c>
      <c r="D33" s="15">
        <v>-15.02</v>
      </c>
      <c r="E33" s="15">
        <v>-22.57</v>
      </c>
      <c r="F33" s="15">
        <v>-2.11</v>
      </c>
    </row>
    <row r="34" spans="1:8" x14ac:dyDescent="0.25">
      <c r="A34" t="s">
        <v>137</v>
      </c>
      <c r="B34" t="s">
        <v>138</v>
      </c>
      <c r="C34" t="s">
        <v>139</v>
      </c>
      <c r="D34" s="6"/>
      <c r="E34" s="6"/>
      <c r="F34" s="6"/>
      <c r="G34" t="s">
        <v>35</v>
      </c>
      <c r="H34" t="s">
        <v>140</v>
      </c>
    </row>
    <row r="35" spans="1:8" x14ac:dyDescent="0.25">
      <c r="A35" t="s">
        <v>217</v>
      </c>
      <c r="B35" t="s">
        <v>14</v>
      </c>
      <c r="C35" t="s">
        <v>118</v>
      </c>
      <c r="D35" s="5">
        <v>60.9375890664504</v>
      </c>
      <c r="E35" s="5">
        <v>55.580265447082098</v>
      </c>
      <c r="F35" s="5">
        <v>53.538565322556202</v>
      </c>
      <c r="G35" t="s">
        <v>22</v>
      </c>
      <c r="H35" t="s">
        <v>218</v>
      </c>
    </row>
    <row r="36" spans="1:8" x14ac:dyDescent="0.25">
      <c r="A36" t="s">
        <v>219</v>
      </c>
      <c r="B36" t="s">
        <v>14</v>
      </c>
      <c r="C36" t="s">
        <v>118</v>
      </c>
      <c r="D36" s="5">
        <v>39.0624109335496</v>
      </c>
      <c r="E36" s="5">
        <v>44.419734552917902</v>
      </c>
      <c r="F36" s="5">
        <v>46.461434677443798</v>
      </c>
      <c r="G36" t="s">
        <v>22</v>
      </c>
      <c r="H36" t="s">
        <v>220</v>
      </c>
    </row>
    <row r="37" spans="1:8" x14ac:dyDescent="0.25">
      <c r="A37" t="s">
        <v>144</v>
      </c>
      <c r="B37" t="s">
        <v>14</v>
      </c>
      <c r="C37" t="s">
        <v>118</v>
      </c>
      <c r="D37" s="5">
        <v>24.159638431032999</v>
      </c>
      <c r="E37" s="5">
        <v>-9.4075359265344005</v>
      </c>
      <c r="F37" s="5">
        <v>9.4837176875860401</v>
      </c>
      <c r="G37" t="s">
        <v>35</v>
      </c>
      <c r="H37" t="s">
        <v>145</v>
      </c>
    </row>
    <row r="38" spans="1:8" x14ac:dyDescent="0.25">
      <c r="A38" t="s">
        <v>146</v>
      </c>
      <c r="B38" t="s">
        <v>14</v>
      </c>
      <c r="C38" t="s">
        <v>118</v>
      </c>
      <c r="D38" s="5">
        <v>8.7391614153661994</v>
      </c>
      <c r="E38" s="5">
        <v>10.9451984570997</v>
      </c>
      <c r="F38" s="5">
        <v>0.44496261591779601</v>
      </c>
      <c r="G38" t="s">
        <v>35</v>
      </c>
      <c r="H38" t="s">
        <v>147</v>
      </c>
    </row>
    <row r="39" spans="1:8" x14ac:dyDescent="0.25">
      <c r="A39" t="s">
        <v>148</v>
      </c>
      <c r="B39" t="s">
        <v>14</v>
      </c>
      <c r="C39" t="s">
        <v>118</v>
      </c>
      <c r="D39" s="5">
        <v>-0.75441112160099999</v>
      </c>
      <c r="E39" s="5">
        <v>0.106701617777425</v>
      </c>
      <c r="F39" s="5">
        <v>1.8983358043563301</v>
      </c>
      <c r="G39" t="s">
        <v>35</v>
      </c>
      <c r="H39" t="s">
        <v>149</v>
      </c>
    </row>
    <row r="40" spans="1:8" x14ac:dyDescent="0.25">
      <c r="A40" t="s">
        <v>150</v>
      </c>
      <c r="B40" t="s">
        <v>14</v>
      </c>
      <c r="C40" t="s">
        <v>118</v>
      </c>
      <c r="D40" s="5">
        <v>-28.2853382807142</v>
      </c>
      <c r="E40" s="5">
        <v>3.9051427485560799</v>
      </c>
      <c r="F40" s="5">
        <v>0.91496042386116305</v>
      </c>
      <c r="G40" t="s">
        <v>35</v>
      </c>
      <c r="H40" t="s">
        <v>151</v>
      </c>
    </row>
    <row r="41" spans="1:8" x14ac:dyDescent="0.25">
      <c r="A41" t="s">
        <v>152</v>
      </c>
      <c r="B41" t="s">
        <v>14</v>
      </c>
      <c r="C41" t="s">
        <v>118</v>
      </c>
      <c r="D41" s="6">
        <v>-8.4980367176236307</v>
      </c>
      <c r="E41" s="6">
        <v>-8.5658751172164003</v>
      </c>
      <c r="F41" s="6">
        <v>-14.689246450000599</v>
      </c>
      <c r="G41" t="s">
        <v>35</v>
      </c>
      <c r="H41" t="s">
        <v>153</v>
      </c>
    </row>
    <row r="42" spans="1:8" x14ac:dyDescent="0.25">
      <c r="A42" t="s">
        <v>164</v>
      </c>
      <c r="B42" t="s">
        <v>59</v>
      </c>
      <c r="C42" t="s">
        <v>102</v>
      </c>
      <c r="D42" s="6">
        <v>0.78</v>
      </c>
      <c r="E42" s="6">
        <v>1</v>
      </c>
      <c r="F42" s="6">
        <v>1</v>
      </c>
      <c r="G42" t="s">
        <v>165</v>
      </c>
      <c r="H42" t="s">
        <v>166</v>
      </c>
    </row>
    <row r="43" spans="1:8" x14ac:dyDescent="0.25">
      <c r="A43" t="s">
        <v>167</v>
      </c>
      <c r="B43" t="s">
        <v>101</v>
      </c>
      <c r="C43" t="s">
        <v>102</v>
      </c>
      <c r="D43" s="6">
        <v>7</v>
      </c>
      <c r="E43" s="6">
        <v>8</v>
      </c>
      <c r="F43" s="6">
        <v>8</v>
      </c>
      <c r="G43" t="s">
        <v>168</v>
      </c>
      <c r="H43" t="s">
        <v>59</v>
      </c>
    </row>
    <row r="44" spans="1:8" x14ac:dyDescent="0.25">
      <c r="A44" t="s">
        <v>169</v>
      </c>
      <c r="B44" t="s">
        <v>101</v>
      </c>
      <c r="C44" t="s">
        <v>102</v>
      </c>
      <c r="D44" s="6">
        <v>9</v>
      </c>
      <c r="E44" s="6">
        <v>8</v>
      </c>
      <c r="F44" s="6">
        <v>8</v>
      </c>
      <c r="G44" t="s">
        <v>168</v>
      </c>
      <c r="H44" t="s">
        <v>59</v>
      </c>
    </row>
    <row r="45" spans="1:8" x14ac:dyDescent="0.25">
      <c r="A45" t="s">
        <v>221</v>
      </c>
      <c r="B45" t="s">
        <v>14</v>
      </c>
      <c r="C45" t="s">
        <v>102</v>
      </c>
      <c r="D45" s="6">
        <v>42.86</v>
      </c>
      <c r="E45" s="6">
        <v>50</v>
      </c>
      <c r="F45" s="6">
        <v>50</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57.14</v>
      </c>
      <c r="E47" s="6">
        <v>50</v>
      </c>
      <c r="F47" s="6">
        <v>50</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5619090.5</v>
      </c>
      <c r="E51" s="6">
        <v>2203622.3125</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0.14299999999999999</v>
      </c>
      <c r="E54" s="6">
        <v>0</v>
      </c>
      <c r="F54" s="6">
        <v>0</v>
      </c>
      <c r="G54" t="s">
        <v>205</v>
      </c>
      <c r="H54" t="s">
        <v>59</v>
      </c>
    </row>
    <row r="55" spans="1:8" x14ac:dyDescent="0.25">
      <c r="A55" t="s">
        <v>206</v>
      </c>
      <c r="B55" t="s">
        <v>207</v>
      </c>
      <c r="C55" t="s">
        <v>176</v>
      </c>
      <c r="D55" s="6">
        <v>0.48</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3.85288966725044</v>
      </c>
      <c r="E58" s="9">
        <v>2.7724665391969401</v>
      </c>
      <c r="F58" s="9">
        <v>3.2472939217318899</v>
      </c>
      <c r="G58" t="s">
        <v>59</v>
      </c>
      <c r="H58" t="s">
        <v>213</v>
      </c>
    </row>
    <row r="59" spans="1:8" x14ac:dyDescent="0.25">
      <c r="A59" t="s">
        <v>214</v>
      </c>
      <c r="B59" t="s">
        <v>14</v>
      </c>
      <c r="C59" t="s">
        <v>15</v>
      </c>
      <c r="D59" s="5">
        <v>0.26269702276707502</v>
      </c>
      <c r="E59" s="5">
        <v>2.4856596558317401</v>
      </c>
      <c r="F59" s="5">
        <v>2.74771024146545</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[1]皮肤科!$O$4</f>
        <v>带状疱疹</v>
      </c>
      <c r="E72" s="10" t="str">
        <f>[1]皮肤科!$I$4</f>
        <v>带状疱疹</v>
      </c>
      <c r="F72" s="10" t="str">
        <f>[1]皮肤科!$C$4</f>
        <v>带状疱疹</v>
      </c>
      <c r="G72" t="s">
        <v>59</v>
      </c>
      <c r="H72" t="s">
        <v>59</v>
      </c>
    </row>
    <row r="73" spans="1:8" x14ac:dyDescent="0.25">
      <c r="A73" t="s">
        <v>241</v>
      </c>
      <c r="B73" t="s">
        <v>59</v>
      </c>
      <c r="C73" t="s">
        <v>90</v>
      </c>
      <c r="D73" s="10" t="str">
        <f>[1]皮肤科!$N$4</f>
        <v>B02</v>
      </c>
      <c r="E73" s="10" t="str">
        <f>[1]皮肤科!$H$4</f>
        <v>B02</v>
      </c>
      <c r="F73" s="10" t="str">
        <f>[1]皮肤科!$B$4</f>
        <v>B02</v>
      </c>
      <c r="G73" t="s">
        <v>59</v>
      </c>
      <c r="H73" t="s">
        <v>59</v>
      </c>
    </row>
    <row r="74" spans="1:8" x14ac:dyDescent="0.25">
      <c r="A74" t="s">
        <v>242</v>
      </c>
      <c r="B74" t="s">
        <v>14</v>
      </c>
      <c r="C74" t="s">
        <v>90</v>
      </c>
      <c r="D74" s="10">
        <f>[1]皮肤科!$Q$4</f>
        <v>19.614711033275</v>
      </c>
      <c r="E74" s="10">
        <f>[1]皮肤科!$K$4</f>
        <v>28.298279158699799</v>
      </c>
      <c r="F74" s="10">
        <f>[1]皮肤科!$E$4</f>
        <v>29.475437135720199</v>
      </c>
      <c r="G74" t="s">
        <v>59</v>
      </c>
      <c r="H74" t="s">
        <v>59</v>
      </c>
    </row>
    <row r="75" spans="1:8" x14ac:dyDescent="0.25">
      <c r="A75" t="s">
        <v>243</v>
      </c>
      <c r="B75" t="s">
        <v>59</v>
      </c>
      <c r="C75" t="s">
        <v>90</v>
      </c>
      <c r="D75" s="10" t="str">
        <f>[1]皮肤科!$O$5</f>
        <v>湿疹</v>
      </c>
      <c r="E75" s="10" t="str">
        <f>[1]皮肤科!$I$5</f>
        <v>湿疹</v>
      </c>
      <c r="F75" s="10" t="str">
        <f>[1]皮肤科!$C$5</f>
        <v>湿疹</v>
      </c>
      <c r="G75" t="s">
        <v>59</v>
      </c>
      <c r="H75" t="s">
        <v>59</v>
      </c>
    </row>
    <row r="76" spans="1:8" x14ac:dyDescent="0.25">
      <c r="A76" t="s">
        <v>244</v>
      </c>
      <c r="B76" t="s">
        <v>59</v>
      </c>
      <c r="C76" t="s">
        <v>90</v>
      </c>
      <c r="D76" s="10" t="str">
        <f>[1]皮肤科!$N$5</f>
        <v>L30.9</v>
      </c>
      <c r="E76" s="10" t="str">
        <f>[1]皮肤科!$H$5</f>
        <v>L30.9</v>
      </c>
      <c r="F76" s="10" t="str">
        <f>[1]皮肤科!$B$5</f>
        <v>L30.9</v>
      </c>
      <c r="G76" t="s">
        <v>59</v>
      </c>
      <c r="H76" t="s">
        <v>59</v>
      </c>
    </row>
    <row r="77" spans="1:8" x14ac:dyDescent="0.25">
      <c r="A77" t="s">
        <v>245</v>
      </c>
      <c r="B77" t="s">
        <v>14</v>
      </c>
      <c r="C77" t="s">
        <v>90</v>
      </c>
      <c r="D77" s="10">
        <f>[1]皮肤科!$Q$5</f>
        <v>8.6690017513134805</v>
      </c>
      <c r="E77" s="10">
        <f>[1]皮肤科!$K$5</f>
        <v>15.391969407265799</v>
      </c>
      <c r="F77" s="10">
        <f>[1]皮肤科!$E$5</f>
        <v>12.8226477935054</v>
      </c>
      <c r="G77" t="s">
        <v>59</v>
      </c>
      <c r="H77" t="s">
        <v>59</v>
      </c>
    </row>
    <row r="78" spans="1:8" x14ac:dyDescent="0.25">
      <c r="A78" t="s">
        <v>246</v>
      </c>
      <c r="B78" t="s">
        <v>59</v>
      </c>
      <c r="C78" t="s">
        <v>90</v>
      </c>
      <c r="D78" s="10" t="str">
        <f>[1]皮肤科!$O$6</f>
        <v>尖锐湿疣</v>
      </c>
      <c r="E78" s="10" t="str">
        <f>[1]皮肤科!$I$6</f>
        <v>尖锐湿疣</v>
      </c>
      <c r="F78" s="10" t="str">
        <f>[1]皮肤科!$C$6</f>
        <v>尖锐湿疣</v>
      </c>
      <c r="G78" t="s">
        <v>59</v>
      </c>
      <c r="H78" t="s">
        <v>59</v>
      </c>
    </row>
    <row r="79" spans="1:8" x14ac:dyDescent="0.25">
      <c r="A79" t="s">
        <v>247</v>
      </c>
      <c r="B79" t="s">
        <v>59</v>
      </c>
      <c r="C79" t="s">
        <v>90</v>
      </c>
      <c r="D79" s="10" t="str">
        <f>[1]皮肤科!$N$6</f>
        <v>A63.0</v>
      </c>
      <c r="E79" s="10" t="str">
        <f>[1]皮肤科!$H$6</f>
        <v>A63.0</v>
      </c>
      <c r="F79" s="10" t="str">
        <f>[1]皮肤科!$B$6</f>
        <v>A63.0</v>
      </c>
      <c r="G79" t="s">
        <v>59</v>
      </c>
      <c r="H79" t="s">
        <v>59</v>
      </c>
    </row>
    <row r="80" spans="1:8" x14ac:dyDescent="0.25">
      <c r="A80" t="s">
        <v>248</v>
      </c>
      <c r="B80" t="s">
        <v>14</v>
      </c>
      <c r="C80" t="s">
        <v>90</v>
      </c>
      <c r="D80" s="10">
        <f>[1]皮肤科!$Q$6</f>
        <v>6.3922942206654998</v>
      </c>
      <c r="E80" s="10">
        <f>[1]皮肤科!$K$6</f>
        <v>7.2657743785850899</v>
      </c>
      <c r="F80" s="10">
        <f>[1]皮肤科!$E$6</f>
        <v>6.0782681099084099</v>
      </c>
      <c r="G80" t="s">
        <v>59</v>
      </c>
      <c r="H80" t="s">
        <v>59</v>
      </c>
    </row>
    <row r="81" spans="1:8" x14ac:dyDescent="0.25">
      <c r="A81" t="s">
        <v>249</v>
      </c>
      <c r="B81" t="s">
        <v>59</v>
      </c>
      <c r="C81" t="s">
        <v>90</v>
      </c>
      <c r="D81" s="10" t="str">
        <f>[1]皮肤科!$O$7</f>
        <v>银屑病（牛皮癣）</v>
      </c>
      <c r="E81" s="10" t="str">
        <f>[1]皮肤科!$I$7</f>
        <v>血管炎</v>
      </c>
      <c r="F81" s="10" t="str">
        <f>[1]皮肤科!$C$7</f>
        <v>血管炎</v>
      </c>
      <c r="G81" t="s">
        <v>59</v>
      </c>
      <c r="H81" t="s">
        <v>59</v>
      </c>
    </row>
    <row r="82" spans="1:8" x14ac:dyDescent="0.25">
      <c r="A82" t="s">
        <v>250</v>
      </c>
      <c r="B82" t="s">
        <v>59</v>
      </c>
      <c r="C82" t="s">
        <v>90</v>
      </c>
      <c r="D82" s="10" t="str">
        <f>[1]皮肤科!$N$7</f>
        <v>L40</v>
      </c>
      <c r="E82" s="10" t="str">
        <f>[1]皮肤科!$H$7</f>
        <v>L95.9</v>
      </c>
      <c r="F82" s="10" t="str">
        <f>[1]皮肤科!$B$7</f>
        <v>L95.9</v>
      </c>
      <c r="G82" t="s">
        <v>59</v>
      </c>
      <c r="H82" t="s">
        <v>59</v>
      </c>
    </row>
    <row r="83" spans="1:8" x14ac:dyDescent="0.25">
      <c r="A83" t="s">
        <v>251</v>
      </c>
      <c r="B83" t="s">
        <v>14</v>
      </c>
      <c r="C83" t="s">
        <v>90</v>
      </c>
      <c r="D83" s="10">
        <f>[1]皮肤科!$Q$7</f>
        <v>3.9404553415061301</v>
      </c>
      <c r="E83" s="10">
        <f>[1]皮肤科!$K$7</f>
        <v>2.96367112810707</v>
      </c>
      <c r="F83" s="10">
        <f>[1]皮肤科!$E$7</f>
        <v>4.4962531223979996</v>
      </c>
      <c r="G83" t="s">
        <v>59</v>
      </c>
      <c r="H83" t="s">
        <v>59</v>
      </c>
    </row>
    <row r="84" spans="1:8" x14ac:dyDescent="0.25">
      <c r="A84" t="s">
        <v>252</v>
      </c>
      <c r="B84" t="s">
        <v>59</v>
      </c>
      <c r="C84" t="s">
        <v>90</v>
      </c>
      <c r="D84" s="10" t="str">
        <f>[1]皮肤科!$O$8</f>
        <v>多形性红斑</v>
      </c>
      <c r="E84" s="10" t="str">
        <f>[1]皮肤科!$I$8</f>
        <v>多形性红斑</v>
      </c>
      <c r="F84" s="10" t="str">
        <f>[1]皮肤科!$C$8</f>
        <v>药物性皮炎</v>
      </c>
      <c r="G84" t="s">
        <v>59</v>
      </c>
      <c r="H84" t="s">
        <v>59</v>
      </c>
    </row>
    <row r="85" spans="1:8" x14ac:dyDescent="0.25">
      <c r="A85" t="s">
        <v>253</v>
      </c>
      <c r="B85" t="s">
        <v>59</v>
      </c>
      <c r="C85" t="s">
        <v>90</v>
      </c>
      <c r="D85" s="10" t="str">
        <f>[1]皮肤科!$N$8</f>
        <v>L51</v>
      </c>
      <c r="E85" s="10" t="str">
        <f>[1]皮肤科!$H$8</f>
        <v>L51</v>
      </c>
      <c r="F85" s="10" t="str">
        <f>[1]皮肤科!$B$8</f>
        <v>L27</v>
      </c>
      <c r="G85" t="s">
        <v>59</v>
      </c>
      <c r="H85" t="s">
        <v>59</v>
      </c>
    </row>
    <row r="86" spans="1:8" x14ac:dyDescent="0.25">
      <c r="A86" t="s">
        <v>254</v>
      </c>
      <c r="B86" t="s">
        <v>14</v>
      </c>
      <c r="C86" t="s">
        <v>90</v>
      </c>
      <c r="D86" s="10">
        <f>[1]皮肤科!$Q$8</f>
        <v>3.0647985989492099</v>
      </c>
      <c r="E86" s="10">
        <f>[1]皮肤科!$K$8</f>
        <v>3.2504780114722802</v>
      </c>
      <c r="F86" s="10">
        <f>[1]皮肤科!$E$8</f>
        <v>3.5803497085761902</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H101"/>
  <sheetViews>
    <sheetView topLeftCell="A27"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5.8823529411764701</v>
      </c>
      <c r="E2" s="5">
        <v>4.3478260869565197</v>
      </c>
      <c r="F2" s="5">
        <v>1.3698630136986301</v>
      </c>
      <c r="G2" t="s">
        <v>16</v>
      </c>
      <c r="H2" t="s">
        <v>17</v>
      </c>
    </row>
    <row r="3" spans="1:8" x14ac:dyDescent="0.25">
      <c r="A3" t="s">
        <v>18</v>
      </c>
      <c r="B3" t="s">
        <v>14</v>
      </c>
      <c r="C3" t="s">
        <v>15</v>
      </c>
      <c r="D3" s="6">
        <v>20</v>
      </c>
      <c r="E3" s="6">
        <v>0</v>
      </c>
      <c r="F3" s="6">
        <v>0</v>
      </c>
      <c r="G3" t="s">
        <v>19</v>
      </c>
      <c r="H3" t="s">
        <v>20</v>
      </c>
    </row>
    <row r="4" spans="1:8" x14ac:dyDescent="0.25">
      <c r="A4" t="s">
        <v>21</v>
      </c>
      <c r="B4" t="s">
        <v>14</v>
      </c>
      <c r="C4" t="s">
        <v>15</v>
      </c>
      <c r="D4" s="6">
        <v>40</v>
      </c>
      <c r="E4" s="6">
        <v>0</v>
      </c>
      <c r="F4" s="6">
        <v>0</v>
      </c>
      <c r="G4" t="s">
        <v>22</v>
      </c>
      <c r="H4" t="s">
        <v>23</v>
      </c>
    </row>
    <row r="5" spans="1:8" x14ac:dyDescent="0.25">
      <c r="A5" t="s">
        <v>24</v>
      </c>
      <c r="B5" t="s">
        <v>14</v>
      </c>
      <c r="C5" t="s">
        <v>15</v>
      </c>
      <c r="D5" s="6">
        <v>100</v>
      </c>
      <c r="E5" s="6">
        <v>100</v>
      </c>
      <c r="F5" s="6">
        <v>100</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1.1399999999999999</v>
      </c>
      <c r="E10" s="6">
        <v>0.95</v>
      </c>
      <c r="F10" s="6">
        <v>2.06</v>
      </c>
      <c r="G10" t="s">
        <v>58</v>
      </c>
      <c r="H10" t="s">
        <v>59</v>
      </c>
    </row>
    <row r="11" spans="1:8" x14ac:dyDescent="0.25">
      <c r="A11" t="s">
        <v>63</v>
      </c>
      <c r="B11" t="s">
        <v>64</v>
      </c>
      <c r="C11" t="s">
        <v>61</v>
      </c>
      <c r="D11" s="5">
        <v>160.25110000000001</v>
      </c>
      <c r="E11" s="5">
        <v>189.39528791993999</v>
      </c>
      <c r="F11" s="5">
        <v>147.82</v>
      </c>
      <c r="G11" t="s">
        <v>35</v>
      </c>
      <c r="H11" t="s">
        <v>65</v>
      </c>
    </row>
    <row r="12" spans="1:8" x14ac:dyDescent="0.25">
      <c r="A12" t="s">
        <v>66</v>
      </c>
      <c r="B12" t="s">
        <v>14</v>
      </c>
      <c r="C12" t="s">
        <v>61</v>
      </c>
      <c r="D12" s="6">
        <v>71.5</v>
      </c>
      <c r="E12" s="6">
        <v>59.34</v>
      </c>
      <c r="F12" s="6">
        <v>58.64</v>
      </c>
      <c r="G12" t="s">
        <v>39</v>
      </c>
      <c r="H12" t="s">
        <v>67</v>
      </c>
    </row>
    <row r="13" spans="1:8" x14ac:dyDescent="0.25">
      <c r="A13" t="s">
        <v>68</v>
      </c>
      <c r="B13" t="s">
        <v>14</v>
      </c>
      <c r="C13" t="s">
        <v>61</v>
      </c>
      <c r="D13" s="6">
        <v>100</v>
      </c>
      <c r="E13" s="6">
        <v>99.32</v>
      </c>
      <c r="F13" s="6">
        <v>97.79</v>
      </c>
      <c r="G13" t="s">
        <v>39</v>
      </c>
      <c r="H13" t="s">
        <v>69</v>
      </c>
    </row>
    <row r="14" spans="1:8" x14ac:dyDescent="0.25">
      <c r="A14" t="s">
        <v>74</v>
      </c>
      <c r="B14" t="s">
        <v>14</v>
      </c>
      <c r="C14" t="s">
        <v>75</v>
      </c>
      <c r="D14" s="6">
        <v>0</v>
      </c>
      <c r="E14" s="18">
        <f>29368/35796766*100</f>
        <v>8.204093073659223E-2</v>
      </c>
      <c r="F14" s="6">
        <v>0</v>
      </c>
      <c r="G14" t="s">
        <v>35</v>
      </c>
      <c r="H14" t="s">
        <v>76</v>
      </c>
    </row>
    <row r="15" spans="1:8" x14ac:dyDescent="0.25">
      <c r="A15" t="s">
        <v>91</v>
      </c>
      <c r="B15" t="s">
        <v>92</v>
      </c>
      <c r="C15" t="s">
        <v>15</v>
      </c>
      <c r="D15" s="6">
        <v>5.26</v>
      </c>
      <c r="E15" s="6">
        <v>3.94</v>
      </c>
      <c r="F15" s="6">
        <v>4.92</v>
      </c>
      <c r="G15" t="s">
        <v>93</v>
      </c>
      <c r="H15" t="s">
        <v>94</v>
      </c>
    </row>
    <row r="16" spans="1:8" x14ac:dyDescent="0.25">
      <c r="A16" t="s">
        <v>95</v>
      </c>
      <c r="B16" t="s">
        <v>59</v>
      </c>
      <c r="C16" t="s">
        <v>34</v>
      </c>
      <c r="D16" s="6">
        <v>4.93</v>
      </c>
      <c r="E16" s="6">
        <v>4.18</v>
      </c>
      <c r="F16" s="6">
        <v>3.99</v>
      </c>
      <c r="G16" t="s">
        <v>96</v>
      </c>
      <c r="H16" t="s">
        <v>59</v>
      </c>
    </row>
    <row r="17" spans="1:8" x14ac:dyDescent="0.25">
      <c r="A17" t="s">
        <v>97</v>
      </c>
      <c r="B17" t="s">
        <v>98</v>
      </c>
      <c r="C17" t="s">
        <v>34</v>
      </c>
      <c r="D17" s="6">
        <v>18</v>
      </c>
      <c r="E17" s="6">
        <v>21</v>
      </c>
      <c r="F17" s="6">
        <v>17</v>
      </c>
      <c r="G17" t="s">
        <v>99</v>
      </c>
      <c r="H17" t="s">
        <v>59</v>
      </c>
    </row>
    <row r="18" spans="1:8" x14ac:dyDescent="0.25">
      <c r="A18" t="s">
        <v>104</v>
      </c>
      <c r="B18" t="s">
        <v>105</v>
      </c>
      <c r="C18" t="s">
        <v>15</v>
      </c>
      <c r="D18" s="6">
        <v>4</v>
      </c>
      <c r="E18" s="6">
        <v>4</v>
      </c>
      <c r="F18" s="6">
        <v>4</v>
      </c>
      <c r="G18" t="s">
        <v>58</v>
      </c>
      <c r="H18" t="s">
        <v>59</v>
      </c>
    </row>
    <row r="19" spans="1:8" x14ac:dyDescent="0.25">
      <c r="A19" t="s">
        <v>106</v>
      </c>
      <c r="B19" t="s">
        <v>105</v>
      </c>
      <c r="C19" t="s">
        <v>15</v>
      </c>
      <c r="D19" s="6">
        <v>4</v>
      </c>
      <c r="E19" s="6">
        <v>4</v>
      </c>
      <c r="F19" s="6">
        <v>4</v>
      </c>
      <c r="G19" t="s">
        <v>58</v>
      </c>
      <c r="H19" t="s">
        <v>59</v>
      </c>
    </row>
    <row r="20" spans="1:8" x14ac:dyDescent="0.25">
      <c r="A20" t="s">
        <v>107</v>
      </c>
      <c r="B20" t="s">
        <v>14</v>
      </c>
      <c r="C20" t="s">
        <v>15</v>
      </c>
      <c r="D20" s="6">
        <v>63.36</v>
      </c>
      <c r="E20" s="6">
        <v>64.28</v>
      </c>
      <c r="F20" s="6">
        <v>59.45</v>
      </c>
      <c r="G20" t="s">
        <v>58</v>
      </c>
      <c r="H20" t="s">
        <v>108</v>
      </c>
    </row>
    <row r="21" spans="1:8" x14ac:dyDescent="0.25">
      <c r="A21" t="s">
        <v>112</v>
      </c>
      <c r="B21" t="s">
        <v>59</v>
      </c>
      <c r="C21" t="s">
        <v>102</v>
      </c>
      <c r="D21" s="5">
        <f t="shared" ref="D21:F21" si="0">D43/D19</f>
        <v>5.25</v>
      </c>
      <c r="E21" s="5">
        <f t="shared" si="0"/>
        <v>5.25</v>
      </c>
      <c r="F21" s="5">
        <f t="shared" si="0"/>
        <v>5.5</v>
      </c>
      <c r="G21" t="s">
        <v>110</v>
      </c>
      <c r="H21" t="s">
        <v>113</v>
      </c>
    </row>
    <row r="22" spans="1:8" x14ac:dyDescent="0.25">
      <c r="A22" t="s">
        <v>114</v>
      </c>
      <c r="B22" t="s">
        <v>59</v>
      </c>
      <c r="C22" t="s">
        <v>102</v>
      </c>
      <c r="D22" s="5">
        <f t="shared" ref="D22:F22" si="1">D44/D19</f>
        <v>22</v>
      </c>
      <c r="E22" s="5">
        <f t="shared" si="1"/>
        <v>20.25</v>
      </c>
      <c r="F22" s="5">
        <f t="shared" si="1"/>
        <v>19.5</v>
      </c>
      <c r="G22" t="s">
        <v>110</v>
      </c>
      <c r="H22" t="s">
        <v>115</v>
      </c>
    </row>
    <row r="23" spans="1:8" x14ac:dyDescent="0.25">
      <c r="A23" t="s">
        <v>116</v>
      </c>
      <c r="B23" t="s">
        <v>117</v>
      </c>
      <c r="C23" t="s">
        <v>118</v>
      </c>
      <c r="D23" s="5">
        <v>5.3005332539682497</v>
      </c>
      <c r="E23" s="5">
        <v>8.7909170932203402</v>
      </c>
      <c r="F23" s="5">
        <v>5.6576563739130403</v>
      </c>
      <c r="G23" t="s">
        <v>119</v>
      </c>
      <c r="H23" t="s">
        <v>59</v>
      </c>
    </row>
    <row r="24" spans="1:8" x14ac:dyDescent="0.25">
      <c r="A24" t="s">
        <v>120</v>
      </c>
      <c r="B24" t="s">
        <v>117</v>
      </c>
      <c r="C24" t="s">
        <v>118</v>
      </c>
      <c r="D24" s="5">
        <v>21.104166190476199</v>
      </c>
      <c r="E24" s="5">
        <v>23.5787189237288</v>
      </c>
      <c r="F24" s="5">
        <v>18.157324773913</v>
      </c>
      <c r="G24" t="s">
        <v>121</v>
      </c>
      <c r="H24" t="s">
        <v>59</v>
      </c>
    </row>
    <row r="25" spans="1:8" x14ac:dyDescent="0.25">
      <c r="A25" t="s">
        <v>122</v>
      </c>
      <c r="B25" t="s">
        <v>117</v>
      </c>
      <c r="C25" t="s">
        <v>118</v>
      </c>
      <c r="D25" s="19"/>
      <c r="E25" s="19"/>
      <c r="F25" s="19"/>
      <c r="G25" t="s">
        <v>123</v>
      </c>
      <c r="H25" t="s">
        <v>59</v>
      </c>
    </row>
    <row r="26" spans="1:8" x14ac:dyDescent="0.25">
      <c r="A26" t="s">
        <v>124</v>
      </c>
      <c r="B26" t="s">
        <v>117</v>
      </c>
      <c r="C26" t="s">
        <v>118</v>
      </c>
      <c r="D26" s="19"/>
      <c r="E26" s="19"/>
      <c r="F26" s="19"/>
      <c r="G26" t="s">
        <v>125</v>
      </c>
      <c r="H26" t="s">
        <v>59</v>
      </c>
    </row>
    <row r="27" spans="1:8" x14ac:dyDescent="0.25">
      <c r="A27" t="s">
        <v>126</v>
      </c>
      <c r="B27" t="s">
        <v>127</v>
      </c>
      <c r="C27" t="s">
        <v>118</v>
      </c>
      <c r="D27" s="5">
        <v>0.17247227658186601</v>
      </c>
      <c r="E27" s="5">
        <v>0.19178082191780799</v>
      </c>
      <c r="F27" s="5">
        <v>0.25541718555417198</v>
      </c>
      <c r="G27" t="s">
        <v>39</v>
      </c>
      <c r="H27" t="s">
        <v>128</v>
      </c>
    </row>
    <row r="28" spans="1:8" x14ac:dyDescent="0.25">
      <c r="A28" t="s">
        <v>129</v>
      </c>
      <c r="B28" t="s">
        <v>14</v>
      </c>
      <c r="C28" t="s">
        <v>118</v>
      </c>
      <c r="D28" s="5">
        <v>19.829406011902901</v>
      </c>
      <c r="E28" s="5">
        <v>34.921392499822403</v>
      </c>
      <c r="F28" s="5">
        <v>21.4712894786657</v>
      </c>
      <c r="G28" t="s">
        <v>130</v>
      </c>
      <c r="H28" t="s">
        <v>131</v>
      </c>
    </row>
    <row r="29" spans="1:8" x14ac:dyDescent="0.25">
      <c r="A29" t="s">
        <v>132</v>
      </c>
      <c r="B29" t="s">
        <v>117</v>
      </c>
      <c r="C29" t="s">
        <v>118</v>
      </c>
      <c r="D29" s="5">
        <v>3368.0645279999999</v>
      </c>
      <c r="E29" s="5">
        <v>2970.4663609999998</v>
      </c>
      <c r="F29" s="5">
        <v>3030.2347869999999</v>
      </c>
      <c r="G29" t="s">
        <v>59</v>
      </c>
      <c r="H29" t="s">
        <v>133</v>
      </c>
    </row>
    <row r="30" spans="1:8" x14ac:dyDescent="0.25">
      <c r="A30" t="s">
        <v>134</v>
      </c>
      <c r="B30" t="s">
        <v>117</v>
      </c>
      <c r="C30" t="s">
        <v>118</v>
      </c>
      <c r="D30" s="5">
        <v>667.86719000000005</v>
      </c>
      <c r="E30" s="5">
        <v>1037.328217</v>
      </c>
      <c r="F30" s="5">
        <v>650.63048300000003</v>
      </c>
      <c r="G30" t="s">
        <v>59</v>
      </c>
      <c r="H30" t="s">
        <v>59</v>
      </c>
    </row>
    <row r="31" spans="1:8" x14ac:dyDescent="0.25">
      <c r="A31" t="s">
        <v>135</v>
      </c>
      <c r="B31" t="s">
        <v>117</v>
      </c>
      <c r="C31" t="s">
        <v>118</v>
      </c>
      <c r="D31" s="5">
        <v>2659.1249400000002</v>
      </c>
      <c r="E31" s="5">
        <v>2782.2888330000001</v>
      </c>
      <c r="F31" s="5">
        <v>2088.092349</v>
      </c>
      <c r="G31" t="s">
        <v>59</v>
      </c>
      <c r="H31" t="s">
        <v>136</v>
      </c>
    </row>
    <row r="32" spans="1:8" x14ac:dyDescent="0.25">
      <c r="A32" t="s">
        <v>216</v>
      </c>
      <c r="B32" t="s">
        <v>117</v>
      </c>
      <c r="D32" s="17">
        <v>4323.45</v>
      </c>
      <c r="E32" s="17">
        <v>3697.29</v>
      </c>
      <c r="F32" s="17">
        <v>4006</v>
      </c>
    </row>
    <row r="33" spans="1:8" x14ac:dyDescent="0.25">
      <c r="A33" t="s">
        <v>143</v>
      </c>
      <c r="B33" t="s">
        <v>14</v>
      </c>
      <c r="D33" s="15">
        <v>-69.290000000000006</v>
      </c>
      <c r="E33" s="15">
        <v>-62.68</v>
      </c>
      <c r="F33" s="15">
        <v>-63.97</v>
      </c>
    </row>
    <row r="34" spans="1:8" x14ac:dyDescent="0.25">
      <c r="A34" t="s">
        <v>137</v>
      </c>
      <c r="B34" t="s">
        <v>138</v>
      </c>
      <c r="C34" t="s">
        <v>139</v>
      </c>
      <c r="D34" s="6"/>
      <c r="E34" s="6"/>
      <c r="F34" s="6"/>
      <c r="G34" t="s">
        <v>35</v>
      </c>
      <c r="H34" t="s">
        <v>140</v>
      </c>
    </row>
    <row r="35" spans="1:8" x14ac:dyDescent="0.25">
      <c r="A35" t="s">
        <v>217</v>
      </c>
      <c r="B35" t="s">
        <v>14</v>
      </c>
      <c r="C35" t="s">
        <v>118</v>
      </c>
      <c r="D35" s="5">
        <v>69.323705813512802</v>
      </c>
      <c r="E35" s="5">
        <v>67.129153461569899</v>
      </c>
      <c r="F35" s="5">
        <v>68.907073173270902</v>
      </c>
      <c r="G35" t="s">
        <v>22</v>
      </c>
      <c r="H35" t="s">
        <v>218</v>
      </c>
    </row>
    <row r="36" spans="1:8" x14ac:dyDescent="0.25">
      <c r="A36" t="s">
        <v>219</v>
      </c>
      <c r="B36" t="s">
        <v>14</v>
      </c>
      <c r="C36" t="s">
        <v>118</v>
      </c>
      <c r="D36" s="5">
        <v>30.676294186487201</v>
      </c>
      <c r="E36" s="5">
        <v>32.870846538430101</v>
      </c>
      <c r="F36" s="5">
        <v>31.092926826729101</v>
      </c>
      <c r="G36" t="s">
        <v>22</v>
      </c>
      <c r="H36" t="s">
        <v>220</v>
      </c>
    </row>
    <row r="37" spans="1:8" x14ac:dyDescent="0.25">
      <c r="A37" t="s">
        <v>144</v>
      </c>
      <c r="B37" t="s">
        <v>14</v>
      </c>
      <c r="C37" t="s">
        <v>118</v>
      </c>
      <c r="D37" s="5">
        <v>13.3850418984765</v>
      </c>
      <c r="E37" s="5">
        <v>-1.97240247707578</v>
      </c>
      <c r="F37" s="5">
        <v>41.976178839987703</v>
      </c>
      <c r="G37" t="s">
        <v>35</v>
      </c>
      <c r="H37" t="s">
        <v>145</v>
      </c>
    </row>
    <row r="38" spans="1:8" x14ac:dyDescent="0.25">
      <c r="A38" t="s">
        <v>146</v>
      </c>
      <c r="B38" t="s">
        <v>14</v>
      </c>
      <c r="C38" t="s">
        <v>118</v>
      </c>
      <c r="D38" s="5">
        <v>5.6475309959755799</v>
      </c>
      <c r="E38" s="5">
        <v>-1.61803552955187</v>
      </c>
      <c r="F38" s="5">
        <v>5.6066905238516203</v>
      </c>
      <c r="G38" t="s">
        <v>35</v>
      </c>
      <c r="H38" t="s">
        <v>147</v>
      </c>
    </row>
    <row r="39" spans="1:8" x14ac:dyDescent="0.25">
      <c r="A39" t="s">
        <v>148</v>
      </c>
      <c r="B39" t="s">
        <v>14</v>
      </c>
      <c r="C39" t="s">
        <v>118</v>
      </c>
      <c r="D39" s="5">
        <v>27.0732082747184</v>
      </c>
      <c r="E39" s="5">
        <v>21.711870904447501</v>
      </c>
      <c r="F39" s="5">
        <v>23.463054051288399</v>
      </c>
      <c r="G39" t="s">
        <v>35</v>
      </c>
      <c r="H39" t="s">
        <v>149</v>
      </c>
    </row>
    <row r="40" spans="1:8" x14ac:dyDescent="0.25">
      <c r="A40" t="s">
        <v>150</v>
      </c>
      <c r="B40" t="s">
        <v>14</v>
      </c>
      <c r="C40" t="s">
        <v>118</v>
      </c>
      <c r="D40" s="5">
        <v>-25.034628920694299</v>
      </c>
      <c r="E40" s="5">
        <v>-26.6224287042848</v>
      </c>
      <c r="F40" s="5">
        <v>7.6574922624353698</v>
      </c>
      <c r="G40" t="s">
        <v>35</v>
      </c>
      <c r="H40" t="s">
        <v>151</v>
      </c>
    </row>
    <row r="41" spans="1:8" x14ac:dyDescent="0.25">
      <c r="A41" t="s">
        <v>152</v>
      </c>
      <c r="B41" t="s">
        <v>14</v>
      </c>
      <c r="C41" t="s">
        <v>118</v>
      </c>
      <c r="D41" s="5">
        <v>-14.3706636739277</v>
      </c>
      <c r="E41" s="5">
        <v>-24.3356115177215</v>
      </c>
      <c r="F41" s="5">
        <v>24.333040841306801</v>
      </c>
      <c r="G41" t="s">
        <v>35</v>
      </c>
      <c r="H41" t="s">
        <v>153</v>
      </c>
    </row>
    <row r="42" spans="1:8" x14ac:dyDescent="0.25">
      <c r="A42" t="s">
        <v>164</v>
      </c>
      <c r="B42" t="s">
        <v>59</v>
      </c>
      <c r="C42" t="s">
        <v>102</v>
      </c>
      <c r="D42" s="6">
        <v>0.24</v>
      </c>
      <c r="E42" s="6">
        <v>0.26</v>
      </c>
      <c r="F42" s="6">
        <v>0.28000000000000003</v>
      </c>
      <c r="G42" t="s">
        <v>165</v>
      </c>
      <c r="H42" t="s">
        <v>166</v>
      </c>
    </row>
    <row r="43" spans="1:8" x14ac:dyDescent="0.25">
      <c r="A43" t="s">
        <v>167</v>
      </c>
      <c r="B43" t="s">
        <v>101</v>
      </c>
      <c r="C43" t="s">
        <v>102</v>
      </c>
      <c r="D43" s="6">
        <v>21</v>
      </c>
      <c r="E43" s="6">
        <v>21</v>
      </c>
      <c r="F43" s="6">
        <v>22</v>
      </c>
      <c r="G43" t="s">
        <v>168</v>
      </c>
      <c r="H43" t="s">
        <v>59</v>
      </c>
    </row>
    <row r="44" spans="1:8" x14ac:dyDescent="0.25">
      <c r="A44" t="s">
        <v>169</v>
      </c>
      <c r="B44" t="s">
        <v>101</v>
      </c>
      <c r="C44" t="s">
        <v>102</v>
      </c>
      <c r="D44" s="6">
        <v>88</v>
      </c>
      <c r="E44" s="6">
        <v>81</v>
      </c>
      <c r="F44" s="6">
        <v>78</v>
      </c>
      <c r="G44" t="s">
        <v>168</v>
      </c>
      <c r="H44" t="s">
        <v>59</v>
      </c>
    </row>
    <row r="45" spans="1:8" x14ac:dyDescent="0.25">
      <c r="A45" t="s">
        <v>221</v>
      </c>
      <c r="B45" t="s">
        <v>14</v>
      </c>
      <c r="C45" t="s">
        <v>102</v>
      </c>
      <c r="D45" s="6">
        <v>19.05</v>
      </c>
      <c r="E45" s="6">
        <v>19.05</v>
      </c>
      <c r="F45" s="6">
        <v>22.73</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9.52</v>
      </c>
      <c r="E47" s="6">
        <v>14.29</v>
      </c>
      <c r="F47" s="6">
        <v>9.09</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2.3529411764705901</v>
      </c>
      <c r="E58" s="9">
        <v>2.8985507246376798</v>
      </c>
      <c r="F58" s="9">
        <v>4.10958904109589</v>
      </c>
      <c r="G58" t="s">
        <v>59</v>
      </c>
      <c r="H58" t="s">
        <v>213</v>
      </c>
    </row>
    <row r="59" spans="1:8" x14ac:dyDescent="0.25">
      <c r="A59" t="s">
        <v>214</v>
      </c>
      <c r="B59" t="s">
        <v>14</v>
      </c>
      <c r="C59" t="s">
        <v>15</v>
      </c>
      <c r="D59" s="5">
        <v>65.882352941176507</v>
      </c>
      <c r="E59" s="5">
        <v>75.362318840579704</v>
      </c>
      <c r="F59" s="5">
        <v>65.753424657534197</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[1]急诊科!$O$4</f>
        <v>细菌性肺炎</v>
      </c>
      <c r="E72" s="10" t="str">
        <f>[1]急诊科!$I$4</f>
        <v>细菌性肺炎</v>
      </c>
      <c r="F72" s="10" t="str">
        <f>[1]急诊科!$C$4</f>
        <v>细菌性肺炎</v>
      </c>
      <c r="G72" t="s">
        <v>59</v>
      </c>
      <c r="H72" t="s">
        <v>59</v>
      </c>
    </row>
    <row r="73" spans="1:8" x14ac:dyDescent="0.25">
      <c r="A73" t="s">
        <v>241</v>
      </c>
      <c r="B73" t="s">
        <v>59</v>
      </c>
      <c r="C73" t="s">
        <v>90</v>
      </c>
      <c r="D73" s="10" t="str">
        <f>[1]急诊科!$N$4</f>
        <v>J13-J18</v>
      </c>
      <c r="E73" s="10" t="str">
        <f>[1]急诊科!$H$4</f>
        <v>J13-J18</v>
      </c>
      <c r="F73" s="10" t="str">
        <f>[1]急诊科!$B$4</f>
        <v>J13-J18</v>
      </c>
      <c r="G73" t="s">
        <v>59</v>
      </c>
      <c r="H73" t="s">
        <v>59</v>
      </c>
    </row>
    <row r="74" spans="1:8" x14ac:dyDescent="0.25">
      <c r="A74" t="s">
        <v>242</v>
      </c>
      <c r="B74" t="s">
        <v>14</v>
      </c>
      <c r="C74" t="s">
        <v>90</v>
      </c>
      <c r="D74" s="10">
        <f>[1]急诊科!$Q$4</f>
        <v>17.647058823529399</v>
      </c>
      <c r="E74" s="10">
        <f>[1]急诊科!$K$4</f>
        <v>21.739130434782599</v>
      </c>
      <c r="F74" s="10">
        <f>[1]急诊科!$E$4</f>
        <v>26.027397260274</v>
      </c>
      <c r="G74" t="s">
        <v>59</v>
      </c>
      <c r="H74" t="s">
        <v>59</v>
      </c>
    </row>
    <row r="75" spans="1:8" x14ac:dyDescent="0.25">
      <c r="A75" t="s">
        <v>243</v>
      </c>
      <c r="B75" t="s">
        <v>59</v>
      </c>
      <c r="C75" t="s">
        <v>90</v>
      </c>
      <c r="D75" s="10" t="str">
        <f>[1]急诊科!$O$5</f>
        <v>脑出血</v>
      </c>
      <c r="E75" s="10" t="str">
        <f>[1]急诊科!$I$5</f>
        <v>败血症</v>
      </c>
      <c r="F75" s="10" t="str">
        <f>[1]急诊科!$C$5</f>
        <v>脑出血</v>
      </c>
      <c r="G75" t="s">
        <v>59</v>
      </c>
      <c r="H75" t="s">
        <v>59</v>
      </c>
    </row>
    <row r="76" spans="1:8" x14ac:dyDescent="0.25">
      <c r="A76" t="s">
        <v>244</v>
      </c>
      <c r="B76" t="s">
        <v>59</v>
      </c>
      <c r="C76" t="s">
        <v>90</v>
      </c>
      <c r="D76" s="10" t="str">
        <f>[1]急诊科!$N$5</f>
        <v>I61</v>
      </c>
      <c r="E76" s="10" t="str">
        <f>[1]急诊科!$H$5</f>
        <v>A40-A41</v>
      </c>
      <c r="F76" s="10" t="str">
        <f>[1]急诊科!$B$5</f>
        <v>I61</v>
      </c>
      <c r="G76" t="s">
        <v>59</v>
      </c>
      <c r="H76" t="s">
        <v>59</v>
      </c>
    </row>
    <row r="77" spans="1:8" x14ac:dyDescent="0.25">
      <c r="A77" t="s">
        <v>245</v>
      </c>
      <c r="B77" t="s">
        <v>14</v>
      </c>
      <c r="C77" t="s">
        <v>90</v>
      </c>
      <c r="D77" s="10">
        <f>[1]急诊科!$Q$5</f>
        <v>16.470588235294102</v>
      </c>
      <c r="E77" s="10">
        <f>[1]急诊科!$K$5</f>
        <v>13.0434782608696</v>
      </c>
      <c r="F77" s="10">
        <f>[1]急诊科!$E$5</f>
        <v>16.438356164383599</v>
      </c>
      <c r="G77" t="s">
        <v>59</v>
      </c>
      <c r="H77" t="s">
        <v>59</v>
      </c>
    </row>
    <row r="78" spans="1:8" x14ac:dyDescent="0.25">
      <c r="A78" t="s">
        <v>246</v>
      </c>
      <c r="B78" t="s">
        <v>59</v>
      </c>
      <c r="C78" t="s">
        <v>90</v>
      </c>
      <c r="D78" s="10" t="str">
        <f>[1]急诊科!$O$6</f>
        <v>败血症</v>
      </c>
      <c r="E78" s="10" t="str">
        <f>[1]急诊科!$I$6</f>
        <v>脑出血</v>
      </c>
      <c r="F78" s="10" t="str">
        <f>[1]急诊科!$C$6</f>
        <v>脑梗死</v>
      </c>
      <c r="G78" t="s">
        <v>59</v>
      </c>
      <c r="H78" t="s">
        <v>59</v>
      </c>
    </row>
    <row r="79" spans="1:8" x14ac:dyDescent="0.25">
      <c r="A79" t="s">
        <v>247</v>
      </c>
      <c r="B79" t="s">
        <v>59</v>
      </c>
      <c r="C79" t="s">
        <v>90</v>
      </c>
      <c r="D79" s="10" t="str">
        <f>[1]急诊科!$N$6</f>
        <v>A40-A41</v>
      </c>
      <c r="E79" s="10" t="str">
        <f>[1]急诊科!$H$6</f>
        <v>I61</v>
      </c>
      <c r="F79" s="10" t="str">
        <f>[1]急诊科!$B$6</f>
        <v>I63</v>
      </c>
      <c r="G79" t="s">
        <v>59</v>
      </c>
      <c r="H79" t="s">
        <v>59</v>
      </c>
    </row>
    <row r="80" spans="1:8" x14ac:dyDescent="0.25">
      <c r="A80" t="s">
        <v>248</v>
      </c>
      <c r="B80" t="s">
        <v>14</v>
      </c>
      <c r="C80" t="s">
        <v>90</v>
      </c>
      <c r="D80" s="10">
        <f>[1]急诊科!$Q$6</f>
        <v>15.294117647058799</v>
      </c>
      <c r="E80" s="10">
        <f>[1]急诊科!$K$6</f>
        <v>10.144927536231901</v>
      </c>
      <c r="F80" s="10">
        <f>[1]急诊科!$E$6</f>
        <v>16.438356164383599</v>
      </c>
      <c r="G80" t="s">
        <v>59</v>
      </c>
      <c r="H80" t="s">
        <v>59</v>
      </c>
    </row>
    <row r="81" spans="1:8" x14ac:dyDescent="0.25">
      <c r="A81" t="s">
        <v>249</v>
      </c>
      <c r="B81" t="s">
        <v>59</v>
      </c>
      <c r="C81" t="s">
        <v>90</v>
      </c>
      <c r="D81" s="10" t="str">
        <f>[1]急诊科!$O$7</f>
        <v>脑病</v>
      </c>
      <c r="E81" s="10" t="str">
        <f>[1]急诊科!$I$7</f>
        <v>慢性阻塞性肺病</v>
      </c>
      <c r="F81" s="10" t="str">
        <f>[1]急诊科!$C$7</f>
        <v>急性心肌梗死</v>
      </c>
      <c r="G81" t="s">
        <v>59</v>
      </c>
      <c r="H81" t="s">
        <v>59</v>
      </c>
    </row>
    <row r="82" spans="1:8" x14ac:dyDescent="0.25">
      <c r="A82" t="s">
        <v>250</v>
      </c>
      <c r="B82" t="s">
        <v>59</v>
      </c>
      <c r="C82" t="s">
        <v>90</v>
      </c>
      <c r="D82" s="10" t="str">
        <f>[1]急诊科!$N$7</f>
        <v>G93</v>
      </c>
      <c r="E82" s="10" t="str">
        <f>[1]急诊科!$H$7</f>
        <v>J44</v>
      </c>
      <c r="F82" s="10" t="str">
        <f>[1]急诊科!$B$7</f>
        <v>I21</v>
      </c>
      <c r="G82" t="s">
        <v>59</v>
      </c>
      <c r="H82" t="s">
        <v>59</v>
      </c>
    </row>
    <row r="83" spans="1:8" x14ac:dyDescent="0.25">
      <c r="A83" t="s">
        <v>251</v>
      </c>
      <c r="B83" t="s">
        <v>14</v>
      </c>
      <c r="C83" t="s">
        <v>90</v>
      </c>
      <c r="D83" s="10">
        <f>[1]急诊科!$Q$7</f>
        <v>7.0588235294117601</v>
      </c>
      <c r="E83" s="10">
        <f>[1]急诊科!$K$7</f>
        <v>5.7971014492753596</v>
      </c>
      <c r="F83" s="10">
        <f>[1]急诊科!$E$7</f>
        <v>8.2191780821917799</v>
      </c>
      <c r="G83" t="s">
        <v>59</v>
      </c>
      <c r="H83" t="s">
        <v>59</v>
      </c>
    </row>
    <row r="84" spans="1:8" x14ac:dyDescent="0.25">
      <c r="A84" t="s">
        <v>252</v>
      </c>
      <c r="B84" t="s">
        <v>59</v>
      </c>
      <c r="C84" t="s">
        <v>90</v>
      </c>
      <c r="D84" s="10" t="str">
        <f>[1]急诊科!$O$8</f>
        <v>急性心肌梗死</v>
      </c>
      <c r="E84" s="10" t="str">
        <f>[1]急诊科!$I$8</f>
        <v>蛛网膜下腔出血</v>
      </c>
      <c r="F84" s="10" t="str">
        <f>[1]急诊科!$C$8</f>
        <v>脑病</v>
      </c>
      <c r="G84" t="s">
        <v>59</v>
      </c>
      <c r="H84" t="s">
        <v>59</v>
      </c>
    </row>
    <row r="85" spans="1:8" x14ac:dyDescent="0.25">
      <c r="A85" t="s">
        <v>253</v>
      </c>
      <c r="B85" t="s">
        <v>59</v>
      </c>
      <c r="C85" t="s">
        <v>90</v>
      </c>
      <c r="D85" s="10" t="str">
        <f>[1]急诊科!$N$8</f>
        <v>I21</v>
      </c>
      <c r="E85" s="10" t="str">
        <f>[1]急诊科!$H$8</f>
        <v>I60</v>
      </c>
      <c r="F85" s="10" t="str">
        <f>[1]急诊科!$B$8</f>
        <v>G93</v>
      </c>
      <c r="G85" t="s">
        <v>59</v>
      </c>
      <c r="H85" t="s">
        <v>59</v>
      </c>
    </row>
    <row r="86" spans="1:8" x14ac:dyDescent="0.25">
      <c r="A86" t="s">
        <v>254</v>
      </c>
      <c r="B86" t="s">
        <v>14</v>
      </c>
      <c r="C86" t="s">
        <v>90</v>
      </c>
      <c r="D86" s="10">
        <f>[1]急诊科!$Q$8</f>
        <v>4.7058823529411802</v>
      </c>
      <c r="E86" s="10">
        <f>[1]急诊科!$K$8</f>
        <v>4.3478260869565197</v>
      </c>
      <c r="F86" s="10">
        <f>[1]急诊科!$E$8</f>
        <v>4.10958904109589</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0.87976539589442804</v>
      </c>
      <c r="E2" s="5">
        <v>0.81135902636916801</v>
      </c>
      <c r="F2" s="5">
        <v>0.92264017033357004</v>
      </c>
      <c r="G2" t="s">
        <v>16</v>
      </c>
      <c r="H2" t="s">
        <v>17</v>
      </c>
    </row>
    <row r="3" spans="1:8" x14ac:dyDescent="0.25">
      <c r="A3" t="s">
        <v>18</v>
      </c>
      <c r="B3" t="s">
        <v>14</v>
      </c>
      <c r="C3" t="s">
        <v>15</v>
      </c>
      <c r="D3" s="6">
        <v>0</v>
      </c>
      <c r="E3" s="6">
        <v>0</v>
      </c>
      <c r="F3" s="6">
        <v>0</v>
      </c>
      <c r="G3" t="s">
        <v>19</v>
      </c>
      <c r="H3" t="s">
        <v>20</v>
      </c>
    </row>
    <row r="4" spans="1:8" x14ac:dyDescent="0.25">
      <c r="A4" t="s">
        <v>21</v>
      </c>
      <c r="B4" t="s">
        <v>14</v>
      </c>
      <c r="C4" t="s">
        <v>15</v>
      </c>
      <c r="D4" s="6">
        <v>0</v>
      </c>
      <c r="E4" s="6">
        <v>0</v>
      </c>
      <c r="F4" s="6">
        <v>0</v>
      </c>
      <c r="G4" t="s">
        <v>22</v>
      </c>
      <c r="H4" t="s">
        <v>23</v>
      </c>
    </row>
    <row r="5" spans="1:8" x14ac:dyDescent="0.25">
      <c r="A5" t="s">
        <v>24</v>
      </c>
      <c r="B5" t="s">
        <v>14</v>
      </c>
      <c r="C5" t="s">
        <v>15</v>
      </c>
      <c r="D5" s="6">
        <v>99.71</v>
      </c>
      <c r="E5" s="6">
        <v>99.53</v>
      </c>
      <c r="F5" s="6">
        <v>98.58</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0.28999999999999998</v>
      </c>
      <c r="E10" s="6">
        <v>0.2</v>
      </c>
      <c r="F10" s="6">
        <v>0.64</v>
      </c>
      <c r="G10" t="s">
        <v>58</v>
      </c>
      <c r="H10" t="s">
        <v>59</v>
      </c>
    </row>
    <row r="11" spans="1:8" x14ac:dyDescent="0.25">
      <c r="A11" t="s">
        <v>63</v>
      </c>
      <c r="B11" t="s">
        <v>64</v>
      </c>
      <c r="C11" t="s">
        <v>61</v>
      </c>
      <c r="D11" s="5">
        <v>10.5207673358021</v>
      </c>
      <c r="E11" s="5">
        <v>9.1087947177943107</v>
      </c>
      <c r="F11" s="5">
        <v>9.6101842632995407</v>
      </c>
      <c r="G11" t="s">
        <v>35</v>
      </c>
      <c r="H11" t="s">
        <v>65</v>
      </c>
    </row>
    <row r="12" spans="1:8" x14ac:dyDescent="0.25">
      <c r="A12" t="s">
        <v>66</v>
      </c>
      <c r="B12" t="s">
        <v>14</v>
      </c>
      <c r="C12" t="s">
        <v>61</v>
      </c>
      <c r="D12" s="6">
        <v>90.16</v>
      </c>
      <c r="E12" s="6">
        <v>81.83</v>
      </c>
      <c r="F12" s="6">
        <v>72.819999999999993</v>
      </c>
      <c r="G12" t="s">
        <v>39</v>
      </c>
      <c r="H12" t="s">
        <v>67</v>
      </c>
    </row>
    <row r="13" spans="1:8" x14ac:dyDescent="0.25">
      <c r="A13" t="s">
        <v>68</v>
      </c>
      <c r="B13" t="s">
        <v>14</v>
      </c>
      <c r="C13" t="s">
        <v>61</v>
      </c>
      <c r="D13" s="6">
        <v>92.98</v>
      </c>
      <c r="E13" s="6">
        <v>93.32</v>
      </c>
      <c r="F13" s="6">
        <v>96.68</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6.62</v>
      </c>
      <c r="E15" s="6">
        <v>6.44</v>
      </c>
      <c r="F15" s="6">
        <v>7.49</v>
      </c>
      <c r="G15" t="s">
        <v>93</v>
      </c>
      <c r="H15" t="s">
        <v>94</v>
      </c>
    </row>
    <row r="16" spans="1:8" x14ac:dyDescent="0.25">
      <c r="A16" t="s">
        <v>95</v>
      </c>
      <c r="B16" t="s">
        <v>59</v>
      </c>
      <c r="C16" t="s">
        <v>34</v>
      </c>
      <c r="D16" s="6">
        <v>0.68</v>
      </c>
      <c r="E16" s="6">
        <v>0.69</v>
      </c>
      <c r="F16" s="6">
        <v>0.84</v>
      </c>
      <c r="G16" t="s">
        <v>96</v>
      </c>
      <c r="H16" t="s">
        <v>59</v>
      </c>
    </row>
    <row r="17" spans="1:8" x14ac:dyDescent="0.25">
      <c r="A17" t="s">
        <v>97</v>
      </c>
      <c r="B17" t="s">
        <v>98</v>
      </c>
      <c r="C17" t="s">
        <v>34</v>
      </c>
      <c r="D17" s="6">
        <v>76</v>
      </c>
      <c r="E17" s="6">
        <v>81</v>
      </c>
      <c r="F17" s="6">
        <v>93</v>
      </c>
      <c r="G17" t="s">
        <v>99</v>
      </c>
      <c r="H17" t="s">
        <v>59</v>
      </c>
    </row>
    <row r="18" spans="1:8" x14ac:dyDescent="0.25">
      <c r="A18" t="s">
        <v>104</v>
      </c>
      <c r="B18" t="s">
        <v>105</v>
      </c>
      <c r="C18" t="s">
        <v>15</v>
      </c>
      <c r="D18" s="6">
        <v>20</v>
      </c>
      <c r="E18" s="6">
        <v>20</v>
      </c>
      <c r="F18" s="6">
        <v>20</v>
      </c>
      <c r="G18" t="s">
        <v>58</v>
      </c>
      <c r="H18" t="s">
        <v>59</v>
      </c>
    </row>
    <row r="19" spans="1:8" x14ac:dyDescent="0.25">
      <c r="A19" t="s">
        <v>106</v>
      </c>
      <c r="B19" t="s">
        <v>105</v>
      </c>
      <c r="C19" t="s">
        <v>15</v>
      </c>
      <c r="D19" s="6">
        <v>32</v>
      </c>
      <c r="E19" s="6">
        <v>20</v>
      </c>
      <c r="F19" s="6">
        <v>20</v>
      </c>
      <c r="G19" t="s">
        <v>58</v>
      </c>
      <c r="H19" t="s">
        <v>59</v>
      </c>
    </row>
    <row r="20" spans="1:8" x14ac:dyDescent="0.25">
      <c r="A20" t="s">
        <v>107</v>
      </c>
      <c r="B20" t="s">
        <v>14</v>
      </c>
      <c r="C20" t="s">
        <v>15</v>
      </c>
      <c r="D20" s="6">
        <v>87.75</v>
      </c>
      <c r="E20" s="6">
        <v>130.91999999999999</v>
      </c>
      <c r="F20" s="6">
        <v>145.18</v>
      </c>
      <c r="G20" t="s">
        <v>58</v>
      </c>
      <c r="H20" t="s">
        <v>108</v>
      </c>
    </row>
    <row r="21" spans="1:8" x14ac:dyDescent="0.25">
      <c r="A21" t="s">
        <v>112</v>
      </c>
      <c r="B21" t="s">
        <v>59</v>
      </c>
      <c r="C21" t="s">
        <v>102</v>
      </c>
      <c r="D21" s="5">
        <f t="shared" ref="D21:F21" si="0">D43/D19</f>
        <v>0.1875</v>
      </c>
      <c r="E21" s="5">
        <f t="shared" si="0"/>
        <v>0.3</v>
      </c>
      <c r="F21" s="5">
        <f t="shared" si="0"/>
        <v>0.25</v>
      </c>
      <c r="G21" t="s">
        <v>110</v>
      </c>
      <c r="H21" t="s">
        <v>113</v>
      </c>
    </row>
    <row r="22" spans="1:8" x14ac:dyDescent="0.25">
      <c r="A22" t="s">
        <v>114</v>
      </c>
      <c r="B22" t="s">
        <v>59</v>
      </c>
      <c r="C22" t="s">
        <v>102</v>
      </c>
      <c r="D22" s="5">
        <f t="shared" ref="D22:F22" si="1">D44/D19</f>
        <v>0.375</v>
      </c>
      <c r="E22" s="5">
        <f t="shared" si="1"/>
        <v>0.6</v>
      </c>
      <c r="F22" s="5">
        <f t="shared" si="1"/>
        <v>0.65</v>
      </c>
      <c r="G22" t="s">
        <v>110</v>
      </c>
      <c r="H22" t="s">
        <v>115</v>
      </c>
    </row>
    <row r="23" spans="1:8" x14ac:dyDescent="0.25">
      <c r="A23" t="s">
        <v>116</v>
      </c>
      <c r="B23" t="s">
        <v>117</v>
      </c>
      <c r="C23" t="s">
        <v>118</v>
      </c>
      <c r="D23" s="5">
        <v>10.1261896315789</v>
      </c>
      <c r="E23" s="5">
        <v>10.180915888888901</v>
      </c>
      <c r="F23" s="5">
        <v>8.6658297999999991</v>
      </c>
      <c r="G23" t="s">
        <v>119</v>
      </c>
      <c r="H23" t="s">
        <v>59</v>
      </c>
    </row>
    <row r="24" spans="1:8" x14ac:dyDescent="0.25">
      <c r="A24" t="s">
        <v>120</v>
      </c>
      <c r="B24" t="s">
        <v>117</v>
      </c>
      <c r="C24" t="s">
        <v>118</v>
      </c>
      <c r="D24" s="5">
        <v>41.1138794736842</v>
      </c>
      <c r="E24" s="5">
        <v>43.760068888888902</v>
      </c>
      <c r="F24" s="5">
        <v>37.130915600000002</v>
      </c>
      <c r="G24" t="s">
        <v>121</v>
      </c>
      <c r="H24" t="s">
        <v>59</v>
      </c>
    </row>
    <row r="25" spans="1:8" x14ac:dyDescent="0.25">
      <c r="A25" t="s">
        <v>122</v>
      </c>
      <c r="B25" t="s">
        <v>117</v>
      </c>
      <c r="C25" t="s">
        <v>118</v>
      </c>
      <c r="D25" s="5">
        <v>6.85909458110517</v>
      </c>
      <c r="E25" s="5">
        <v>9.1628243000000005</v>
      </c>
      <c r="F25" s="5">
        <v>8.6658297999999991</v>
      </c>
      <c r="G25" t="s">
        <v>123</v>
      </c>
      <c r="H25" t="s">
        <v>59</v>
      </c>
    </row>
    <row r="26" spans="1:8" x14ac:dyDescent="0.25">
      <c r="A26" t="s">
        <v>124</v>
      </c>
      <c r="B26" t="s">
        <v>117</v>
      </c>
      <c r="C26" t="s">
        <v>118</v>
      </c>
      <c r="D26" s="5">
        <v>27.848973618538299</v>
      </c>
      <c r="E26" s="5">
        <v>39.384062</v>
      </c>
      <c r="F26" s="5">
        <v>37.130915600000002</v>
      </c>
      <c r="G26" t="s">
        <v>125</v>
      </c>
      <c r="H26" t="s">
        <v>59</v>
      </c>
    </row>
    <row r="27" spans="1:8" x14ac:dyDescent="0.25">
      <c r="A27" t="s">
        <v>126</v>
      </c>
      <c r="B27" t="s">
        <v>127</v>
      </c>
      <c r="C27" t="s">
        <v>118</v>
      </c>
      <c r="D27" s="5">
        <v>4.1031963470319601</v>
      </c>
      <c r="E27" s="5">
        <v>4.3757990867579899</v>
      </c>
      <c r="F27" s="5">
        <v>5.8071232876712298</v>
      </c>
      <c r="G27" t="s">
        <v>39</v>
      </c>
      <c r="H27" t="s">
        <v>128</v>
      </c>
    </row>
    <row r="28" spans="1:8" x14ac:dyDescent="0.25">
      <c r="A28" t="s">
        <v>129</v>
      </c>
      <c r="B28" t="s">
        <v>14</v>
      </c>
      <c r="C28" t="s">
        <v>118</v>
      </c>
      <c r="D28" s="5">
        <v>12.8293201141928</v>
      </c>
      <c r="E28" s="5">
        <v>13.1805575338179</v>
      </c>
      <c r="F28" s="5">
        <v>12.6968757769018</v>
      </c>
      <c r="G28" t="s">
        <v>130</v>
      </c>
      <c r="H28" t="s">
        <v>131</v>
      </c>
    </row>
    <row r="29" spans="1:8" x14ac:dyDescent="0.25">
      <c r="A29" t="s">
        <v>132</v>
      </c>
      <c r="B29" t="s">
        <v>117</v>
      </c>
      <c r="C29" t="s">
        <v>118</v>
      </c>
      <c r="D29" s="5">
        <v>1499.6710760000001</v>
      </c>
      <c r="E29" s="5">
        <v>1390.354585</v>
      </c>
      <c r="F29" s="5">
        <v>1365.0334069999999</v>
      </c>
      <c r="G29" t="s">
        <v>59</v>
      </c>
      <c r="H29" t="s">
        <v>133</v>
      </c>
    </row>
    <row r="30" spans="1:8" x14ac:dyDescent="0.25">
      <c r="A30" t="s">
        <v>134</v>
      </c>
      <c r="B30" t="s">
        <v>117</v>
      </c>
      <c r="C30" t="s">
        <v>118</v>
      </c>
      <c r="D30" s="5">
        <v>192.397603</v>
      </c>
      <c r="E30" s="5">
        <v>183.256486</v>
      </c>
      <c r="F30" s="5">
        <v>173.316596</v>
      </c>
      <c r="G30" t="s">
        <v>59</v>
      </c>
      <c r="H30" t="s">
        <v>59</v>
      </c>
    </row>
    <row r="31" spans="1:8" x14ac:dyDescent="0.25">
      <c r="A31" t="s">
        <v>135</v>
      </c>
      <c r="B31" t="s">
        <v>117</v>
      </c>
      <c r="C31" t="s">
        <v>118</v>
      </c>
      <c r="D31" s="5">
        <v>781.16371000000004</v>
      </c>
      <c r="E31" s="5">
        <v>787.68124</v>
      </c>
      <c r="F31" s="5">
        <v>742.61831199999995</v>
      </c>
      <c r="G31" t="s">
        <v>59</v>
      </c>
      <c r="H31" t="s">
        <v>136</v>
      </c>
    </row>
    <row r="32" spans="1:8" x14ac:dyDescent="0.25">
      <c r="A32" t="s">
        <v>216</v>
      </c>
      <c r="B32" t="s">
        <v>117</v>
      </c>
      <c r="D32" s="17">
        <v>1185.75</v>
      </c>
      <c r="E32" s="17">
        <v>977.92</v>
      </c>
      <c r="F32" s="17">
        <v>956.02</v>
      </c>
    </row>
    <row r="33" spans="1:8" x14ac:dyDescent="0.25">
      <c r="A33" t="s">
        <v>143</v>
      </c>
      <c r="B33" t="s">
        <v>14</v>
      </c>
      <c r="D33" s="15">
        <v>-7.68</v>
      </c>
      <c r="E33" s="15">
        <v>-4.9800000000000004</v>
      </c>
      <c r="F33" s="15">
        <v>-11.03</v>
      </c>
    </row>
    <row r="34" spans="1:8" x14ac:dyDescent="0.25">
      <c r="A34" t="s">
        <v>137</v>
      </c>
      <c r="B34" t="s">
        <v>138</v>
      </c>
      <c r="C34" t="s">
        <v>139</v>
      </c>
      <c r="D34" s="6"/>
      <c r="E34" s="6"/>
      <c r="F34" s="6"/>
      <c r="G34" t="s">
        <v>35</v>
      </c>
      <c r="H34" t="s">
        <v>140</v>
      </c>
    </row>
    <row r="35" spans="1:8" x14ac:dyDescent="0.25">
      <c r="A35" t="s">
        <v>217</v>
      </c>
      <c r="B35" t="s">
        <v>14</v>
      </c>
      <c r="C35" t="s">
        <v>118</v>
      </c>
      <c r="D35" s="5">
        <v>53.3184120035666</v>
      </c>
      <c r="E35" s="5">
        <v>48.631318463268101</v>
      </c>
      <c r="F35" s="5">
        <v>40.377810328564401</v>
      </c>
      <c r="G35" t="s">
        <v>22</v>
      </c>
      <c r="H35" t="s">
        <v>218</v>
      </c>
    </row>
    <row r="36" spans="1:8" x14ac:dyDescent="0.25">
      <c r="A36" t="s">
        <v>219</v>
      </c>
      <c r="B36" t="s">
        <v>14</v>
      </c>
      <c r="C36" t="s">
        <v>118</v>
      </c>
      <c r="D36" s="5">
        <v>46.6815879964334</v>
      </c>
      <c r="E36" s="5">
        <v>51.368681536731899</v>
      </c>
      <c r="F36" s="5">
        <v>59.622189671435599</v>
      </c>
      <c r="G36" t="s">
        <v>22</v>
      </c>
      <c r="H36" t="s">
        <v>220</v>
      </c>
    </row>
    <row r="37" spans="1:8" x14ac:dyDescent="0.25">
      <c r="A37" t="s">
        <v>144</v>
      </c>
      <c r="B37" t="s">
        <v>14</v>
      </c>
      <c r="C37" t="s">
        <v>118</v>
      </c>
      <c r="D37" s="5">
        <v>7.8624900568080696</v>
      </c>
      <c r="E37" s="5">
        <v>1.8549859563986399</v>
      </c>
      <c r="F37" s="5">
        <v>33.786844575985498</v>
      </c>
      <c r="G37" t="s">
        <v>35</v>
      </c>
      <c r="H37" t="s">
        <v>145</v>
      </c>
    </row>
    <row r="38" spans="1:8" x14ac:dyDescent="0.25">
      <c r="A38" t="s">
        <v>146</v>
      </c>
      <c r="B38" t="s">
        <v>14</v>
      </c>
      <c r="C38" t="s">
        <v>118</v>
      </c>
      <c r="D38" s="5">
        <v>7.3408863276113803E-2</v>
      </c>
      <c r="E38" s="5">
        <v>11.780644284103399</v>
      </c>
      <c r="F38" s="5">
        <v>12.111356686788</v>
      </c>
      <c r="G38" t="s">
        <v>35</v>
      </c>
      <c r="H38" t="s">
        <v>147</v>
      </c>
    </row>
    <row r="39" spans="1:8" x14ac:dyDescent="0.25">
      <c r="A39" t="s">
        <v>148</v>
      </c>
      <c r="B39" t="s">
        <v>14</v>
      </c>
      <c r="C39" t="s">
        <v>118</v>
      </c>
      <c r="D39" s="5">
        <v>7.4545575443534897</v>
      </c>
      <c r="E39" s="5">
        <v>-16.555202110173799</v>
      </c>
      <c r="F39" s="5">
        <v>-5.7249158384311096</v>
      </c>
      <c r="G39" t="s">
        <v>35</v>
      </c>
      <c r="H39" t="s">
        <v>149</v>
      </c>
    </row>
    <row r="40" spans="1:8" x14ac:dyDescent="0.25">
      <c r="A40" t="s">
        <v>150</v>
      </c>
      <c r="B40" t="s">
        <v>14</v>
      </c>
      <c r="C40" t="s">
        <v>118</v>
      </c>
      <c r="D40" s="5">
        <v>2.82441766310947</v>
      </c>
      <c r="E40" s="5">
        <v>13.490810181732099</v>
      </c>
      <c r="F40" s="5">
        <v>12.593159854246601</v>
      </c>
      <c r="G40" t="s">
        <v>35</v>
      </c>
      <c r="H40" t="s">
        <v>151</v>
      </c>
    </row>
    <row r="41" spans="1:8" x14ac:dyDescent="0.25">
      <c r="A41" t="s">
        <v>152</v>
      </c>
      <c r="B41" t="s">
        <v>14</v>
      </c>
      <c r="C41" t="s">
        <v>118</v>
      </c>
      <c r="D41" s="5">
        <v>23.924481251742101</v>
      </c>
      <c r="E41" s="5">
        <v>-47.622371682078203</v>
      </c>
      <c r="F41" s="5">
        <v>-21.260985826947199</v>
      </c>
      <c r="G41" t="s">
        <v>35</v>
      </c>
      <c r="H41" t="s">
        <v>153</v>
      </c>
    </row>
    <row r="42" spans="1:8" x14ac:dyDescent="0.25">
      <c r="A42" t="s">
        <v>164</v>
      </c>
      <c r="B42" t="s">
        <v>59</v>
      </c>
      <c r="C42" t="s">
        <v>102</v>
      </c>
      <c r="D42" s="6">
        <v>0.5</v>
      </c>
      <c r="E42" s="6">
        <v>0.5</v>
      </c>
      <c r="F42" s="6">
        <v>0.38</v>
      </c>
      <c r="G42" t="s">
        <v>165</v>
      </c>
      <c r="H42" t="s">
        <v>166</v>
      </c>
    </row>
    <row r="43" spans="1:8" x14ac:dyDescent="0.25">
      <c r="A43" t="s">
        <v>167</v>
      </c>
      <c r="B43" t="s">
        <v>101</v>
      </c>
      <c r="C43" t="s">
        <v>102</v>
      </c>
      <c r="D43" s="6">
        <v>6</v>
      </c>
      <c r="E43" s="6">
        <v>6</v>
      </c>
      <c r="F43" s="6">
        <v>5</v>
      </c>
      <c r="G43" t="s">
        <v>168</v>
      </c>
      <c r="H43" t="s">
        <v>59</v>
      </c>
    </row>
    <row r="44" spans="1:8" x14ac:dyDescent="0.25">
      <c r="A44" t="s">
        <v>169</v>
      </c>
      <c r="B44" t="s">
        <v>101</v>
      </c>
      <c r="C44" t="s">
        <v>102</v>
      </c>
      <c r="D44" s="6">
        <v>12</v>
      </c>
      <c r="E44" s="6">
        <v>12</v>
      </c>
      <c r="F44" s="6">
        <v>13</v>
      </c>
      <c r="G44" t="s">
        <v>168</v>
      </c>
      <c r="H44" t="s">
        <v>59</v>
      </c>
    </row>
    <row r="45" spans="1:8" x14ac:dyDescent="0.25">
      <c r="A45" t="s">
        <v>221</v>
      </c>
      <c r="B45" t="s">
        <v>14</v>
      </c>
      <c r="C45" t="s">
        <v>102</v>
      </c>
      <c r="D45" s="6">
        <v>66.67</v>
      </c>
      <c r="E45" s="6">
        <v>66.67</v>
      </c>
      <c r="F45" s="6">
        <v>60</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50</v>
      </c>
      <c r="E47" s="6">
        <v>50</v>
      </c>
      <c r="F47" s="6">
        <v>40</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4.6187683284457499</v>
      </c>
      <c r="E58" s="9">
        <v>4.53008789722786</v>
      </c>
      <c r="F58" s="9">
        <v>6.7423704755145497</v>
      </c>
      <c r="G58" t="s">
        <v>59</v>
      </c>
      <c r="H58" t="s">
        <v>213</v>
      </c>
    </row>
    <row r="59" spans="1:8" x14ac:dyDescent="0.25">
      <c r="A59" t="s">
        <v>214</v>
      </c>
      <c r="B59" t="s">
        <v>14</v>
      </c>
      <c r="C59" t="s">
        <v>15</v>
      </c>
      <c r="D59" s="5">
        <v>3.1524926686216999</v>
      </c>
      <c r="E59" s="5">
        <v>9.3306288032454407</v>
      </c>
      <c r="F59" s="5">
        <v>3.12278211497516</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[1]风湿免疫内科!$O$4</f>
        <v>血清反应阳性的类风湿性关节炎</v>
      </c>
      <c r="E72" s="10" t="str">
        <f>[1]风湿免疫内科!$I$4</f>
        <v>血清反应阳性的类风湿性关节炎</v>
      </c>
      <c r="F72" s="10" t="str">
        <f>[1]风湿免疫内科!$C$4</f>
        <v>类风湿性关节炎</v>
      </c>
      <c r="G72" t="s">
        <v>59</v>
      </c>
      <c r="H72" t="s">
        <v>59</v>
      </c>
    </row>
    <row r="73" spans="1:8" x14ac:dyDescent="0.25">
      <c r="A73" t="s">
        <v>241</v>
      </c>
      <c r="B73" t="s">
        <v>59</v>
      </c>
      <c r="C73" t="s">
        <v>90</v>
      </c>
      <c r="D73" s="10" t="str">
        <f>[1]风湿免疫内科!$N$4</f>
        <v>M05-M06</v>
      </c>
      <c r="E73" s="10" t="str">
        <f>[1]风湿免疫内科!$H$4</f>
        <v>M05-M06</v>
      </c>
      <c r="F73" s="10" t="str">
        <f>[1]风湿免疫内科!$B$4</f>
        <v>M05-M06</v>
      </c>
      <c r="G73" t="s">
        <v>59</v>
      </c>
      <c r="H73" t="s">
        <v>59</v>
      </c>
    </row>
    <row r="74" spans="1:8" x14ac:dyDescent="0.25">
      <c r="A74" t="s">
        <v>242</v>
      </c>
      <c r="B74" t="s">
        <v>14</v>
      </c>
      <c r="C74" t="s">
        <v>90</v>
      </c>
      <c r="D74" s="10">
        <f>[1]风湿免疫内科!$Q$4</f>
        <v>29.692082111436999</v>
      </c>
      <c r="E74" s="10">
        <f>[1]风湿免疫内科!$K$4</f>
        <v>25.828262339418501</v>
      </c>
      <c r="F74" s="10">
        <f>[1]风湿免疫内科!$E$4</f>
        <v>27.111426543648001</v>
      </c>
      <c r="G74" t="s">
        <v>59</v>
      </c>
      <c r="H74" t="s">
        <v>59</v>
      </c>
    </row>
    <row r="75" spans="1:8" x14ac:dyDescent="0.25">
      <c r="A75" t="s">
        <v>243</v>
      </c>
      <c r="B75" t="s">
        <v>59</v>
      </c>
      <c r="C75" t="s">
        <v>90</v>
      </c>
      <c r="D75" s="10" t="str">
        <f>[1]风湿免疫内科!$O$5</f>
        <v>系统性红斑狼疮</v>
      </c>
      <c r="E75" s="10" t="str">
        <f>[1]风湿免疫内科!$I$5</f>
        <v>系统性红斑狼疮</v>
      </c>
      <c r="F75" s="10" t="str">
        <f>[1]风湿免疫内科!$C$5</f>
        <v>痛风</v>
      </c>
      <c r="G75" t="s">
        <v>59</v>
      </c>
      <c r="H75" t="s">
        <v>59</v>
      </c>
    </row>
    <row r="76" spans="1:8" x14ac:dyDescent="0.25">
      <c r="A76" t="s">
        <v>244</v>
      </c>
      <c r="B76" t="s">
        <v>59</v>
      </c>
      <c r="C76" t="s">
        <v>90</v>
      </c>
      <c r="D76" s="10" t="str">
        <f>[1]风湿免疫内科!$N$5</f>
        <v>M32</v>
      </c>
      <c r="E76" s="10" t="str">
        <f>[1]风湿免疫内科!$H$5</f>
        <v>M32</v>
      </c>
      <c r="F76" s="10" t="str">
        <f>[1]风湿免疫内科!$B$5</f>
        <v>M10</v>
      </c>
      <c r="G76" t="s">
        <v>59</v>
      </c>
      <c r="H76" t="s">
        <v>59</v>
      </c>
    </row>
    <row r="77" spans="1:8" x14ac:dyDescent="0.25">
      <c r="A77" t="s">
        <v>245</v>
      </c>
      <c r="B77" t="s">
        <v>14</v>
      </c>
      <c r="C77" t="s">
        <v>90</v>
      </c>
      <c r="D77" s="10">
        <f>[1]风湿免疫内科!$Q$5</f>
        <v>15.4692082111437</v>
      </c>
      <c r="E77" s="10">
        <f>[1]风湿免疫内科!$K$5</f>
        <v>23.191345503718701</v>
      </c>
      <c r="F77" s="10">
        <f>[1]风湿免疫内科!$E$5</f>
        <v>16.5365507452094</v>
      </c>
      <c r="G77" t="s">
        <v>59</v>
      </c>
      <c r="H77" t="s">
        <v>59</v>
      </c>
    </row>
    <row r="78" spans="1:8" x14ac:dyDescent="0.25">
      <c r="A78" t="s">
        <v>246</v>
      </c>
      <c r="B78" t="s">
        <v>59</v>
      </c>
      <c r="C78" t="s">
        <v>90</v>
      </c>
      <c r="D78" s="10" t="str">
        <f>[1]风湿免疫内科!$O$6</f>
        <v>痛风</v>
      </c>
      <c r="E78" s="10" t="str">
        <f>[1]风湿免疫内科!$I$6</f>
        <v>痛风</v>
      </c>
      <c r="F78" s="10" t="str">
        <f>[1]风湿免疫内科!$C$6</f>
        <v>系统性红斑狼疮</v>
      </c>
      <c r="G78" t="s">
        <v>59</v>
      </c>
      <c r="H78" t="s">
        <v>59</v>
      </c>
    </row>
    <row r="79" spans="1:8" x14ac:dyDescent="0.25">
      <c r="A79" t="s">
        <v>247</v>
      </c>
      <c r="B79" t="s">
        <v>59</v>
      </c>
      <c r="C79" t="s">
        <v>90</v>
      </c>
      <c r="D79" s="10" t="str">
        <f>[1]风湿免疫内科!$N$6</f>
        <v>M10</v>
      </c>
      <c r="E79" s="10" t="str">
        <f>[1]风湿免疫内科!$H$6</f>
        <v>M10</v>
      </c>
      <c r="F79" s="10" t="str">
        <f>[1]风湿免疫内科!$B$6</f>
        <v>M32</v>
      </c>
      <c r="G79" t="s">
        <v>59</v>
      </c>
      <c r="H79" t="s">
        <v>59</v>
      </c>
    </row>
    <row r="80" spans="1:8" x14ac:dyDescent="0.25">
      <c r="A80" t="s">
        <v>248</v>
      </c>
      <c r="B80" t="s">
        <v>14</v>
      </c>
      <c r="C80" t="s">
        <v>90</v>
      </c>
      <c r="D80" s="10">
        <f>[1]风湿免疫内科!$Q$6</f>
        <v>11.7302052785924</v>
      </c>
      <c r="E80" s="10">
        <f>[1]风湿免疫内科!$K$6</f>
        <v>16.430020283975701</v>
      </c>
      <c r="F80" s="10">
        <f>[1]风湿免疫内科!$E$6</f>
        <v>14.833215046132</v>
      </c>
      <c r="G80" t="s">
        <v>59</v>
      </c>
      <c r="H80" t="s">
        <v>59</v>
      </c>
    </row>
    <row r="81" spans="1:8" x14ac:dyDescent="0.25">
      <c r="A81" t="s">
        <v>249</v>
      </c>
      <c r="B81" t="s">
        <v>59</v>
      </c>
      <c r="C81" t="s">
        <v>90</v>
      </c>
      <c r="D81" s="10" t="str">
        <f>[1]风湿免疫内科!$O$7</f>
        <v>骨质疏松不伴有病理性骨折</v>
      </c>
      <c r="E81" s="10" t="str">
        <f>[1]风湿免疫内科!$I$7</f>
        <v>骨质疏松不伴有病理性骨折</v>
      </c>
      <c r="F81" s="10" t="str">
        <f>[1]风湿免疫内科!$C$7</f>
        <v>骨质疏松不伴有病理性骨折</v>
      </c>
      <c r="G81" t="s">
        <v>59</v>
      </c>
      <c r="H81" t="s">
        <v>59</v>
      </c>
    </row>
    <row r="82" spans="1:8" x14ac:dyDescent="0.25">
      <c r="A82" t="s">
        <v>250</v>
      </c>
      <c r="B82" t="s">
        <v>59</v>
      </c>
      <c r="C82" t="s">
        <v>90</v>
      </c>
      <c r="D82" s="10" t="str">
        <f>[1]风湿免疫内科!$N$7</f>
        <v>M81</v>
      </c>
      <c r="E82" s="10" t="str">
        <f>[1]风湿免疫内科!$H$7</f>
        <v>M81</v>
      </c>
      <c r="F82" s="10" t="str">
        <f>[1]风湿免疫内科!$B$7</f>
        <v>M81</v>
      </c>
      <c r="G82" t="s">
        <v>59</v>
      </c>
      <c r="H82" t="s">
        <v>59</v>
      </c>
    </row>
    <row r="83" spans="1:8" x14ac:dyDescent="0.25">
      <c r="A83" t="s">
        <v>251</v>
      </c>
      <c r="B83" t="s">
        <v>14</v>
      </c>
      <c r="C83" t="s">
        <v>90</v>
      </c>
      <c r="D83" s="10">
        <f>[1]风湿免疫内科!$Q$7</f>
        <v>9.0909090909090899</v>
      </c>
      <c r="E83" s="10">
        <f>[1]风湿免疫内科!$K$7</f>
        <v>3.85395537525355</v>
      </c>
      <c r="F83" s="10">
        <f>[1]风湿免疫内科!$E$7</f>
        <v>4.3293115684882899</v>
      </c>
      <c r="G83" t="s">
        <v>59</v>
      </c>
      <c r="H83" t="s">
        <v>59</v>
      </c>
    </row>
    <row r="84" spans="1:8" x14ac:dyDescent="0.25">
      <c r="A84" t="s">
        <v>252</v>
      </c>
      <c r="B84" t="s">
        <v>59</v>
      </c>
      <c r="C84" t="s">
        <v>90</v>
      </c>
      <c r="D84" s="10" t="str">
        <f>[1]风湿免疫内科!$O$8</f>
        <v>强直性脊柱炎</v>
      </c>
      <c r="E84" s="10" t="str">
        <f>[1]风湿免疫内科!$I$8</f>
        <v>干燥综合征[舍格伦]</v>
      </c>
      <c r="F84" s="10" t="str">
        <f>[1]风湿免疫内科!$C$8</f>
        <v>干燥综合征[舍格伦]</v>
      </c>
      <c r="G84" t="s">
        <v>59</v>
      </c>
      <c r="H84" t="s">
        <v>59</v>
      </c>
    </row>
    <row r="85" spans="1:8" x14ac:dyDescent="0.25">
      <c r="A85" t="s">
        <v>253</v>
      </c>
      <c r="B85" t="s">
        <v>59</v>
      </c>
      <c r="C85" t="s">
        <v>90</v>
      </c>
      <c r="D85" s="10" t="str">
        <f>[1]风湿免疫内科!$N$8</f>
        <v>M45.x</v>
      </c>
      <c r="E85" s="10" t="str">
        <f>[1]风湿免疫内科!$H$8</f>
        <v>M35.0</v>
      </c>
      <c r="F85" s="10" t="str">
        <f>[1]风湿免疫内科!$B$8</f>
        <v>M35.0</v>
      </c>
      <c r="G85" t="s">
        <v>59</v>
      </c>
      <c r="H85" t="s">
        <v>59</v>
      </c>
    </row>
    <row r="86" spans="1:8" x14ac:dyDescent="0.25">
      <c r="A86" t="s">
        <v>254</v>
      </c>
      <c r="B86" t="s">
        <v>14</v>
      </c>
      <c r="C86" t="s">
        <v>90</v>
      </c>
      <c r="D86" s="10">
        <f>[1]风湿免疫内科!$Q$8</f>
        <v>5.4252199413489697</v>
      </c>
      <c r="E86" s="10">
        <f>[1]风湿免疫内科!$K$8</f>
        <v>2.4340770791074999</v>
      </c>
      <c r="F86" s="10">
        <f>[1]风湿免疫内科!$E$8</f>
        <v>2.4840312278211498</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01"/>
  <sheetViews>
    <sheetView topLeftCell="A22" workbookViewId="0">
      <selection activeCell="D33" sqref="D33:F33"/>
    </sheetView>
  </sheetViews>
  <sheetFormatPr defaultColWidth="9" defaultRowHeight="15" x14ac:dyDescent="0.25"/>
  <cols>
    <col min="1" max="1" width="28" customWidth="1"/>
    <col min="2" max="2" width="11" customWidth="1"/>
    <col min="3" max="3" width="9" customWidth="1"/>
    <col min="4" max="6" width="12.5" style="1" customWidth="1"/>
    <col min="7" max="7" width="70" customWidth="1"/>
    <col min="8" max="8" width="54" customWidth="1"/>
  </cols>
  <sheetData>
    <row r="1" spans="1:8" x14ac:dyDescent="0.25">
      <c r="A1" t="s">
        <v>0</v>
      </c>
      <c r="B1" t="s">
        <v>1</v>
      </c>
      <c r="C1" t="s">
        <v>2</v>
      </c>
      <c r="D1" s="1" t="s">
        <v>3</v>
      </c>
      <c r="E1" s="1" t="s">
        <v>4</v>
      </c>
      <c r="F1" s="1" t="s">
        <v>5</v>
      </c>
      <c r="G1" t="s">
        <v>6</v>
      </c>
      <c r="H1" t="s">
        <v>7</v>
      </c>
    </row>
    <row r="2" spans="1:8" x14ac:dyDescent="0.25">
      <c r="A2" t="s">
        <v>13</v>
      </c>
      <c r="B2" t="s">
        <v>14</v>
      </c>
      <c r="C2" t="s">
        <v>15</v>
      </c>
      <c r="D2" s="2">
        <v>0</v>
      </c>
      <c r="E2" s="12">
        <v>4.0860215053763396</v>
      </c>
      <c r="F2" s="12">
        <v>18.458781362007201</v>
      </c>
      <c r="G2" t="s">
        <v>16</v>
      </c>
      <c r="H2" t="s">
        <v>17</v>
      </c>
    </row>
    <row r="3" spans="1:8" x14ac:dyDescent="0.25">
      <c r="A3" t="s">
        <v>18</v>
      </c>
      <c r="B3" t="s">
        <v>14</v>
      </c>
      <c r="C3" t="s">
        <v>15</v>
      </c>
      <c r="D3" s="2">
        <v>0</v>
      </c>
      <c r="E3" s="12">
        <v>0</v>
      </c>
      <c r="F3" s="12">
        <v>0.485436893203883</v>
      </c>
      <c r="G3" t="s">
        <v>19</v>
      </c>
      <c r="H3" t="s">
        <v>20</v>
      </c>
    </row>
    <row r="4" spans="1:8" x14ac:dyDescent="0.25">
      <c r="A4" t="s">
        <v>21</v>
      </c>
      <c r="B4" t="s">
        <v>14</v>
      </c>
      <c r="C4" t="s">
        <v>15</v>
      </c>
      <c r="D4" s="2">
        <v>0</v>
      </c>
      <c r="E4" s="12">
        <v>0</v>
      </c>
      <c r="F4" s="12">
        <v>0.485436893203883</v>
      </c>
      <c r="G4" t="s">
        <v>22</v>
      </c>
      <c r="H4" t="s">
        <v>23</v>
      </c>
    </row>
    <row r="5" spans="1:8" x14ac:dyDescent="0.25">
      <c r="A5" t="s">
        <v>24</v>
      </c>
      <c r="B5" t="s">
        <v>14</v>
      </c>
      <c r="C5" t="s">
        <v>15</v>
      </c>
      <c r="D5" s="2">
        <v>99.89</v>
      </c>
      <c r="E5" s="2">
        <v>97.96</v>
      </c>
      <c r="F5" s="2">
        <v>93.82</v>
      </c>
      <c r="G5" t="s">
        <v>25</v>
      </c>
      <c r="H5" t="s">
        <v>26</v>
      </c>
    </row>
    <row r="6" spans="1:8" x14ac:dyDescent="0.25">
      <c r="A6" t="s">
        <v>33</v>
      </c>
      <c r="B6" t="s">
        <v>14</v>
      </c>
      <c r="C6" t="s">
        <v>34</v>
      </c>
      <c r="D6" s="2">
        <v>0</v>
      </c>
      <c r="E6" s="2">
        <v>0</v>
      </c>
      <c r="F6" s="2">
        <v>0</v>
      </c>
      <c r="G6" t="s">
        <v>35</v>
      </c>
      <c r="H6" t="s">
        <v>36</v>
      </c>
    </row>
    <row r="7" spans="1:8" x14ac:dyDescent="0.25">
      <c r="A7" t="s">
        <v>37</v>
      </c>
      <c r="B7" t="s">
        <v>14</v>
      </c>
      <c r="C7" t="s">
        <v>34</v>
      </c>
      <c r="D7" s="2">
        <v>0</v>
      </c>
      <c r="E7" s="2">
        <v>0</v>
      </c>
      <c r="F7" s="2">
        <v>0</v>
      </c>
      <c r="G7" t="s">
        <v>39</v>
      </c>
      <c r="H7" t="s">
        <v>40</v>
      </c>
    </row>
    <row r="8" spans="1:8" x14ac:dyDescent="0.25">
      <c r="A8" t="s">
        <v>41</v>
      </c>
      <c r="B8" t="s">
        <v>14</v>
      </c>
      <c r="C8" t="s">
        <v>10</v>
      </c>
      <c r="D8" s="2"/>
      <c r="E8" s="2"/>
      <c r="F8" s="2"/>
      <c r="G8" t="s">
        <v>39</v>
      </c>
      <c r="H8" t="s">
        <v>44</v>
      </c>
    </row>
    <row r="9" spans="1:8" x14ac:dyDescent="0.25">
      <c r="A9" t="s">
        <v>51</v>
      </c>
      <c r="B9" t="s">
        <v>14</v>
      </c>
      <c r="C9" t="s">
        <v>34</v>
      </c>
      <c r="D9" s="2">
        <v>0</v>
      </c>
      <c r="E9" s="2">
        <v>0</v>
      </c>
      <c r="F9" s="2">
        <v>0</v>
      </c>
      <c r="G9" t="s">
        <v>19</v>
      </c>
      <c r="H9" t="s">
        <v>52</v>
      </c>
    </row>
    <row r="10" spans="1:8" x14ac:dyDescent="0.25">
      <c r="A10" t="s">
        <v>57</v>
      </c>
      <c r="B10" t="s">
        <v>14</v>
      </c>
      <c r="C10" t="s">
        <v>38</v>
      </c>
      <c r="D10" s="2">
        <v>0.11</v>
      </c>
      <c r="E10" s="2">
        <v>0.22</v>
      </c>
      <c r="F10" s="2">
        <v>0</v>
      </c>
      <c r="G10" t="s">
        <v>58</v>
      </c>
      <c r="H10" t="s">
        <v>59</v>
      </c>
    </row>
    <row r="11" spans="1:8" x14ac:dyDescent="0.25">
      <c r="A11" t="s">
        <v>63</v>
      </c>
      <c r="B11" t="s">
        <v>64</v>
      </c>
      <c r="C11" t="s">
        <v>61</v>
      </c>
      <c r="D11" s="12">
        <v>7.49264169540956</v>
      </c>
      <c r="E11" s="12">
        <v>11.307850918430001</v>
      </c>
      <c r="F11" s="12">
        <v>13.966420182411699</v>
      </c>
      <c r="G11" t="s">
        <v>35</v>
      </c>
      <c r="H11" t="s">
        <v>65</v>
      </c>
    </row>
    <row r="12" spans="1:8" x14ac:dyDescent="0.25">
      <c r="A12" t="s">
        <v>66</v>
      </c>
      <c r="B12" t="s">
        <v>14</v>
      </c>
      <c r="C12" t="s">
        <v>61</v>
      </c>
      <c r="D12" s="2">
        <v>85.27</v>
      </c>
      <c r="E12" s="2">
        <v>68.52</v>
      </c>
      <c r="F12" s="2">
        <v>50.26</v>
      </c>
      <c r="G12" t="s">
        <v>39</v>
      </c>
      <c r="H12" t="s">
        <v>67</v>
      </c>
    </row>
    <row r="13" spans="1:8" x14ac:dyDescent="0.25">
      <c r="A13" t="s">
        <v>68</v>
      </c>
      <c r="B13" t="s">
        <v>14</v>
      </c>
      <c r="C13" t="s">
        <v>61</v>
      </c>
      <c r="D13" s="2">
        <v>97.75</v>
      </c>
      <c r="E13" s="2">
        <v>97.3</v>
      </c>
      <c r="F13" s="2">
        <v>93.86</v>
      </c>
      <c r="G13" t="s">
        <v>39</v>
      </c>
      <c r="H13" t="s">
        <v>69</v>
      </c>
    </row>
    <row r="14" spans="1:8" x14ac:dyDescent="0.25">
      <c r="A14" t="s">
        <v>74</v>
      </c>
      <c r="B14" t="s">
        <v>14</v>
      </c>
      <c r="C14" t="s">
        <v>75</v>
      </c>
      <c r="D14" s="13">
        <f>63952/6167433*100</f>
        <v>1.0369305998135692</v>
      </c>
      <c r="E14" s="2">
        <v>0</v>
      </c>
      <c r="F14" s="2">
        <v>0</v>
      </c>
      <c r="G14" t="s">
        <v>35</v>
      </c>
      <c r="H14" t="s">
        <v>76</v>
      </c>
    </row>
    <row r="15" spans="1:8" x14ac:dyDescent="0.25">
      <c r="A15" t="s">
        <v>91</v>
      </c>
      <c r="B15" t="s">
        <v>92</v>
      </c>
      <c r="C15" t="s">
        <v>15</v>
      </c>
      <c r="D15" s="2">
        <v>6.37</v>
      </c>
      <c r="E15" s="2">
        <v>6.14</v>
      </c>
      <c r="F15" s="2">
        <v>6.11</v>
      </c>
      <c r="G15" t="s">
        <v>93</v>
      </c>
      <c r="H15" t="s">
        <v>94</v>
      </c>
    </row>
    <row r="16" spans="1:8" x14ac:dyDescent="0.25">
      <c r="A16" t="s">
        <v>95</v>
      </c>
      <c r="B16" t="s">
        <v>59</v>
      </c>
      <c r="C16" t="s">
        <v>34</v>
      </c>
      <c r="D16" s="2">
        <v>0.76</v>
      </c>
      <c r="E16" s="2">
        <v>0.79</v>
      </c>
      <c r="F16" s="2">
        <v>1.1000000000000001</v>
      </c>
      <c r="G16" t="s">
        <v>96</v>
      </c>
      <c r="H16" t="s">
        <v>59</v>
      </c>
    </row>
    <row r="17" spans="1:8" x14ac:dyDescent="0.25">
      <c r="A17" t="s">
        <v>97</v>
      </c>
      <c r="B17" t="s">
        <v>98</v>
      </c>
      <c r="C17" t="s">
        <v>34</v>
      </c>
      <c r="D17" s="2">
        <v>89</v>
      </c>
      <c r="E17" s="2">
        <v>92</v>
      </c>
      <c r="F17" s="2">
        <v>106</v>
      </c>
      <c r="G17" t="s">
        <v>99</v>
      </c>
      <c r="H17" t="s">
        <v>59</v>
      </c>
    </row>
    <row r="18" spans="1:8" x14ac:dyDescent="0.25">
      <c r="A18" t="s">
        <v>104</v>
      </c>
      <c r="B18" t="s">
        <v>105</v>
      </c>
      <c r="C18" t="s">
        <v>15</v>
      </c>
      <c r="D18" s="2">
        <v>15</v>
      </c>
      <c r="E18" s="2">
        <v>15</v>
      </c>
      <c r="F18" s="2">
        <v>15</v>
      </c>
      <c r="G18" t="s">
        <v>58</v>
      </c>
      <c r="H18" t="s">
        <v>59</v>
      </c>
    </row>
    <row r="19" spans="1:8" x14ac:dyDescent="0.25">
      <c r="A19" t="s">
        <v>106</v>
      </c>
      <c r="B19" t="s">
        <v>105</v>
      </c>
      <c r="C19" t="s">
        <v>15</v>
      </c>
      <c r="D19" s="2">
        <v>18</v>
      </c>
      <c r="E19" s="2">
        <v>15</v>
      </c>
      <c r="F19" s="2">
        <v>20</v>
      </c>
      <c r="G19" t="s">
        <v>58</v>
      </c>
      <c r="H19" t="s">
        <v>59</v>
      </c>
    </row>
    <row r="20" spans="1:8" x14ac:dyDescent="0.25">
      <c r="A20" t="s">
        <v>107</v>
      </c>
      <c r="B20" t="s">
        <v>14</v>
      </c>
      <c r="C20" t="s">
        <v>15</v>
      </c>
      <c r="D20" s="2">
        <v>91.19</v>
      </c>
      <c r="E20" s="2">
        <v>87.43</v>
      </c>
      <c r="F20" s="2">
        <v>94.66</v>
      </c>
      <c r="G20" t="s">
        <v>58</v>
      </c>
      <c r="H20" t="s">
        <v>108</v>
      </c>
    </row>
    <row r="21" spans="1:8" x14ac:dyDescent="0.25">
      <c r="A21" t="s">
        <v>112</v>
      </c>
      <c r="B21" t="s">
        <v>59</v>
      </c>
      <c r="C21" t="s">
        <v>102</v>
      </c>
      <c r="D21" s="12">
        <f t="shared" ref="D21:F21" si="0">D43/D19</f>
        <v>0.44444444444444442</v>
      </c>
      <c r="E21" s="12">
        <f t="shared" si="0"/>
        <v>0.46666666666666667</v>
      </c>
      <c r="F21" s="12">
        <f t="shared" si="0"/>
        <v>0.45</v>
      </c>
      <c r="G21" t="s">
        <v>110</v>
      </c>
      <c r="H21" t="s">
        <v>113</v>
      </c>
    </row>
    <row r="22" spans="1:8" x14ac:dyDescent="0.25">
      <c r="A22" t="s">
        <v>114</v>
      </c>
      <c r="B22" t="s">
        <v>59</v>
      </c>
      <c r="C22" t="s">
        <v>102</v>
      </c>
      <c r="D22" s="12">
        <f t="shared" ref="D22:F22" si="1">D44/D19</f>
        <v>0.61111111111111116</v>
      </c>
      <c r="E22" s="12">
        <f t="shared" si="1"/>
        <v>0.73333333333333328</v>
      </c>
      <c r="F22" s="12">
        <f t="shared" si="1"/>
        <v>0.6</v>
      </c>
      <c r="G22" t="s">
        <v>110</v>
      </c>
      <c r="H22" t="s">
        <v>115</v>
      </c>
    </row>
    <row r="23" spans="1:8" x14ac:dyDescent="0.25">
      <c r="A23" t="s">
        <v>116</v>
      </c>
      <c r="B23" t="s">
        <v>117</v>
      </c>
      <c r="C23" t="s">
        <v>118</v>
      </c>
      <c r="D23" s="12">
        <v>10.276533214285701</v>
      </c>
      <c r="E23" s="12">
        <v>8.6497967777777802</v>
      </c>
      <c r="F23" s="12">
        <v>8.3558321724137894</v>
      </c>
      <c r="G23" t="s">
        <v>119</v>
      </c>
      <c r="H23" t="s">
        <v>59</v>
      </c>
    </row>
    <row r="24" spans="1:8" x14ac:dyDescent="0.25">
      <c r="A24" t="s">
        <v>120</v>
      </c>
      <c r="B24" t="s">
        <v>117</v>
      </c>
      <c r="C24" t="s">
        <v>118</v>
      </c>
      <c r="D24" s="12">
        <v>28.791321750000002</v>
      </c>
      <c r="E24" s="12">
        <v>32.001476333333301</v>
      </c>
      <c r="F24" s="12">
        <v>33.585135103448302</v>
      </c>
      <c r="G24" t="s">
        <v>121</v>
      </c>
      <c r="H24" t="s">
        <v>59</v>
      </c>
    </row>
    <row r="25" spans="1:8" x14ac:dyDescent="0.25">
      <c r="A25" t="s">
        <v>122</v>
      </c>
      <c r="B25" t="s">
        <v>117</v>
      </c>
      <c r="C25" t="s">
        <v>118</v>
      </c>
      <c r="D25" s="12">
        <v>16.916104056437401</v>
      </c>
      <c r="E25" s="12">
        <v>13.039894639866001</v>
      </c>
      <c r="F25" s="12">
        <v>12.115956649999999</v>
      </c>
      <c r="G25" t="s">
        <v>123</v>
      </c>
      <c r="H25" t="s">
        <v>59</v>
      </c>
    </row>
    <row r="26" spans="1:8" x14ac:dyDescent="0.25">
      <c r="A26" t="s">
        <v>124</v>
      </c>
      <c r="B26" t="s">
        <v>117</v>
      </c>
      <c r="C26" t="s">
        <v>118</v>
      </c>
      <c r="D26" s="12">
        <v>47.393122222222203</v>
      </c>
      <c r="E26" s="12">
        <v>48.243431658291499</v>
      </c>
      <c r="F26" s="12">
        <v>48.698445900000003</v>
      </c>
      <c r="G26" t="s">
        <v>125</v>
      </c>
      <c r="H26" t="s">
        <v>59</v>
      </c>
    </row>
    <row r="27" spans="1:8" x14ac:dyDescent="0.25">
      <c r="A27" t="s">
        <v>126</v>
      </c>
      <c r="B27" t="s">
        <v>127</v>
      </c>
      <c r="C27" t="s">
        <v>118</v>
      </c>
      <c r="D27" s="12">
        <v>1.93938356164384</v>
      </c>
      <c r="E27" s="12">
        <v>2.2430528375733898</v>
      </c>
      <c r="F27" s="12">
        <v>2.10350076103501</v>
      </c>
      <c r="G27" t="s">
        <v>39</v>
      </c>
      <c r="H27" t="s">
        <v>128</v>
      </c>
    </row>
    <row r="28" spans="1:8" x14ac:dyDescent="0.25">
      <c r="A28" t="s">
        <v>129</v>
      </c>
      <c r="B28" t="s">
        <v>14</v>
      </c>
      <c r="C28" t="s">
        <v>118</v>
      </c>
      <c r="D28" s="12">
        <v>18.591042763600001</v>
      </c>
      <c r="E28" s="12">
        <v>13.8372149935102</v>
      </c>
      <c r="F28" s="12">
        <v>12.453724133705</v>
      </c>
      <c r="G28" t="s">
        <v>130</v>
      </c>
      <c r="H28" t="s">
        <v>131</v>
      </c>
    </row>
    <row r="29" spans="1:8" x14ac:dyDescent="0.25">
      <c r="A29" t="s">
        <v>132</v>
      </c>
      <c r="B29" t="s">
        <v>117</v>
      </c>
      <c r="C29" t="s">
        <v>118</v>
      </c>
      <c r="D29" s="12">
        <v>1547.7503529999999</v>
      </c>
      <c r="E29" s="12">
        <v>1687.799988</v>
      </c>
      <c r="F29" s="12">
        <v>1945.7563889999999</v>
      </c>
      <c r="G29" t="s">
        <v>59</v>
      </c>
      <c r="H29" t="s">
        <v>133</v>
      </c>
    </row>
    <row r="30" spans="1:8" x14ac:dyDescent="0.25">
      <c r="A30" t="s">
        <v>134</v>
      </c>
      <c r="B30" t="s">
        <v>117</v>
      </c>
      <c r="C30" t="s">
        <v>118</v>
      </c>
      <c r="D30" s="12">
        <v>287.74293</v>
      </c>
      <c r="E30" s="12">
        <v>233.54451299999999</v>
      </c>
      <c r="F30" s="12">
        <v>242.31913299999999</v>
      </c>
      <c r="G30" t="s">
        <v>59</v>
      </c>
      <c r="H30" t="s">
        <v>59</v>
      </c>
    </row>
    <row r="31" spans="1:8" x14ac:dyDescent="0.25">
      <c r="A31" t="s">
        <v>135</v>
      </c>
      <c r="B31" t="s">
        <v>117</v>
      </c>
      <c r="C31" t="s">
        <v>118</v>
      </c>
      <c r="D31" s="12">
        <v>806.15700900000002</v>
      </c>
      <c r="E31" s="12">
        <v>864.03986099999997</v>
      </c>
      <c r="F31" s="12">
        <v>973.96891800000003</v>
      </c>
      <c r="G31" t="s">
        <v>59</v>
      </c>
      <c r="H31" t="s">
        <v>136</v>
      </c>
    </row>
    <row r="32" spans="1:8" x14ac:dyDescent="0.25">
      <c r="A32" t="s">
        <v>216</v>
      </c>
      <c r="B32" t="s">
        <v>117</v>
      </c>
      <c r="D32" s="14">
        <v>950.85</v>
      </c>
      <c r="E32" s="14">
        <v>857.63</v>
      </c>
      <c r="F32" s="14">
        <v>996.42</v>
      </c>
    </row>
    <row r="33" spans="1:8" x14ac:dyDescent="0.25">
      <c r="A33" t="s">
        <v>143</v>
      </c>
      <c r="B33" t="s">
        <v>14</v>
      </c>
      <c r="D33" s="15">
        <v>24.01</v>
      </c>
      <c r="E33" s="15">
        <v>23.26</v>
      </c>
      <c r="F33" s="15">
        <v>9.56</v>
      </c>
    </row>
    <row r="34" spans="1:8" x14ac:dyDescent="0.25">
      <c r="A34" t="s">
        <v>137</v>
      </c>
      <c r="B34" t="s">
        <v>138</v>
      </c>
      <c r="C34" t="s">
        <v>139</v>
      </c>
      <c r="D34" s="2"/>
      <c r="E34" s="2"/>
      <c r="F34" s="2"/>
      <c r="G34" t="s">
        <v>35</v>
      </c>
      <c r="H34" t="s">
        <v>140</v>
      </c>
    </row>
    <row r="35" spans="1:8" x14ac:dyDescent="0.25">
      <c r="A35" t="s">
        <v>217</v>
      </c>
      <c r="B35" t="s">
        <v>14</v>
      </c>
      <c r="C35" t="s">
        <v>118</v>
      </c>
      <c r="D35" s="12">
        <v>74.678641213658295</v>
      </c>
      <c r="E35" s="12">
        <v>77.347878082814603</v>
      </c>
      <c r="F35" s="12">
        <v>75.749908381773295</v>
      </c>
      <c r="G35" t="s">
        <v>22</v>
      </c>
      <c r="H35" t="s">
        <v>218</v>
      </c>
    </row>
    <row r="36" spans="1:8" x14ac:dyDescent="0.25">
      <c r="A36" t="s">
        <v>219</v>
      </c>
      <c r="B36" t="s">
        <v>14</v>
      </c>
      <c r="C36" t="s">
        <v>118</v>
      </c>
      <c r="D36" s="12">
        <v>25.321358786341701</v>
      </c>
      <c r="E36" s="12">
        <v>22.652121917185401</v>
      </c>
      <c r="F36" s="12">
        <v>24.250091618226701</v>
      </c>
      <c r="G36" t="s">
        <v>22</v>
      </c>
      <c r="H36" t="s">
        <v>220</v>
      </c>
    </row>
    <row r="37" spans="1:8" x14ac:dyDescent="0.25">
      <c r="A37" t="s">
        <v>144</v>
      </c>
      <c r="B37" t="s">
        <v>14</v>
      </c>
      <c r="C37" t="s">
        <v>118</v>
      </c>
      <c r="D37" s="12">
        <v>-8.2977625308526708</v>
      </c>
      <c r="E37" s="12">
        <v>-13.257384246985501</v>
      </c>
      <c r="F37" s="12">
        <v>14.2645337153496</v>
      </c>
      <c r="G37" t="s">
        <v>35</v>
      </c>
      <c r="H37" t="s">
        <v>145</v>
      </c>
    </row>
    <row r="38" spans="1:8" x14ac:dyDescent="0.25">
      <c r="A38" t="s">
        <v>146</v>
      </c>
      <c r="B38" t="s">
        <v>14</v>
      </c>
      <c r="C38" t="s">
        <v>118</v>
      </c>
      <c r="D38" s="12">
        <v>-0.9152284745157</v>
      </c>
      <c r="E38" s="12">
        <v>-6.2326954135324799</v>
      </c>
      <c r="F38" s="12">
        <v>0.26809950011686001</v>
      </c>
      <c r="G38" t="s">
        <v>35</v>
      </c>
      <c r="H38" t="s">
        <v>147</v>
      </c>
    </row>
    <row r="39" spans="1:8" x14ac:dyDescent="0.25">
      <c r="A39" t="s">
        <v>148</v>
      </c>
      <c r="B39" t="s">
        <v>14</v>
      </c>
      <c r="C39" t="s">
        <v>118</v>
      </c>
      <c r="D39" s="12">
        <v>7.6249485472962499</v>
      </c>
      <c r="E39" s="12">
        <v>-1.82456803944012</v>
      </c>
      <c r="F39" s="12">
        <v>-4.82889301598901</v>
      </c>
      <c r="G39" t="s">
        <v>35</v>
      </c>
      <c r="H39" t="s">
        <v>149</v>
      </c>
    </row>
    <row r="40" spans="1:8" x14ac:dyDescent="0.25">
      <c r="A40" t="s">
        <v>150</v>
      </c>
      <c r="B40" t="s">
        <v>14</v>
      </c>
      <c r="C40" t="s">
        <v>118</v>
      </c>
      <c r="D40" s="12">
        <v>-0.27551078999378098</v>
      </c>
      <c r="E40" s="12">
        <v>-7.9004416397024997</v>
      </c>
      <c r="F40" s="12">
        <v>14.7199184203758</v>
      </c>
      <c r="G40" t="s">
        <v>35</v>
      </c>
      <c r="H40" t="s">
        <v>151</v>
      </c>
    </row>
    <row r="41" spans="1:8" x14ac:dyDescent="0.25">
      <c r="A41" t="s">
        <v>152</v>
      </c>
      <c r="B41" t="s">
        <v>14</v>
      </c>
      <c r="C41" t="s">
        <v>118</v>
      </c>
      <c r="D41" s="12">
        <v>8.6789143331876701</v>
      </c>
      <c r="E41" s="12">
        <v>-34.582598539152698</v>
      </c>
      <c r="F41" s="12">
        <v>-29.187713886774301</v>
      </c>
      <c r="G41" t="s">
        <v>35</v>
      </c>
      <c r="H41" t="s">
        <v>153</v>
      </c>
    </row>
    <row r="42" spans="1:8" x14ac:dyDescent="0.25">
      <c r="A42" t="s">
        <v>164</v>
      </c>
      <c r="B42" t="s">
        <v>59</v>
      </c>
      <c r="C42" t="s">
        <v>102</v>
      </c>
      <c r="D42" s="2">
        <v>0.73</v>
      </c>
      <c r="E42" s="2">
        <v>0.64</v>
      </c>
      <c r="F42" s="2">
        <v>0.75</v>
      </c>
      <c r="G42" t="s">
        <v>165</v>
      </c>
      <c r="H42" t="s">
        <v>166</v>
      </c>
    </row>
    <row r="43" spans="1:8" x14ac:dyDescent="0.25">
      <c r="A43" t="s">
        <v>167</v>
      </c>
      <c r="B43" t="s">
        <v>101</v>
      </c>
      <c r="C43" t="s">
        <v>102</v>
      </c>
      <c r="D43" s="2">
        <v>8</v>
      </c>
      <c r="E43" s="2">
        <v>7</v>
      </c>
      <c r="F43" s="2">
        <v>9</v>
      </c>
      <c r="G43" t="s">
        <v>168</v>
      </c>
      <c r="H43" t="s">
        <v>59</v>
      </c>
    </row>
    <row r="44" spans="1:8" x14ac:dyDescent="0.25">
      <c r="A44" t="s">
        <v>169</v>
      </c>
      <c r="B44" t="s">
        <v>101</v>
      </c>
      <c r="C44" t="s">
        <v>102</v>
      </c>
      <c r="D44" s="2">
        <v>11</v>
      </c>
      <c r="E44" s="2">
        <v>11</v>
      </c>
      <c r="F44" s="2">
        <v>12</v>
      </c>
      <c r="G44" t="s">
        <v>168</v>
      </c>
      <c r="H44" t="s">
        <v>59</v>
      </c>
    </row>
    <row r="45" spans="1:8" x14ac:dyDescent="0.25">
      <c r="A45" t="s">
        <v>221</v>
      </c>
      <c r="B45" t="s">
        <v>14</v>
      </c>
      <c r="C45" t="s">
        <v>102</v>
      </c>
      <c r="D45" s="2">
        <v>37.5</v>
      </c>
      <c r="E45" s="2">
        <v>42.86</v>
      </c>
      <c r="F45" s="2">
        <v>44.44</v>
      </c>
      <c r="G45" t="s">
        <v>59</v>
      </c>
      <c r="H45" t="s">
        <v>222</v>
      </c>
    </row>
    <row r="46" spans="1:8" x14ac:dyDescent="0.25">
      <c r="A46" t="s">
        <v>223</v>
      </c>
      <c r="B46" t="s">
        <v>14</v>
      </c>
      <c r="C46" t="s">
        <v>102</v>
      </c>
      <c r="D46" s="2">
        <v>0</v>
      </c>
      <c r="E46" s="2">
        <v>0</v>
      </c>
      <c r="F46" s="2">
        <v>0</v>
      </c>
      <c r="G46" t="s">
        <v>59</v>
      </c>
      <c r="H46" t="s">
        <v>224</v>
      </c>
    </row>
    <row r="47" spans="1:8" x14ac:dyDescent="0.25">
      <c r="A47" t="s">
        <v>225</v>
      </c>
      <c r="B47" t="s">
        <v>14</v>
      </c>
      <c r="C47" t="s">
        <v>102</v>
      </c>
      <c r="D47" s="2">
        <v>25</v>
      </c>
      <c r="E47" s="2">
        <v>14.29</v>
      </c>
      <c r="F47" s="2">
        <v>22.22</v>
      </c>
      <c r="G47" t="s">
        <v>59</v>
      </c>
      <c r="H47" t="s">
        <v>226</v>
      </c>
    </row>
    <row r="48" spans="1:8" x14ac:dyDescent="0.25">
      <c r="A48" t="s">
        <v>188</v>
      </c>
      <c r="B48" t="s">
        <v>59</v>
      </c>
      <c r="C48" t="s">
        <v>176</v>
      </c>
      <c r="D48" s="2">
        <v>0</v>
      </c>
      <c r="E48" s="2">
        <v>0</v>
      </c>
      <c r="F48" s="2">
        <v>0</v>
      </c>
      <c r="G48" t="s">
        <v>186</v>
      </c>
      <c r="H48" t="s">
        <v>189</v>
      </c>
    </row>
    <row r="49" spans="1:8" x14ac:dyDescent="0.25">
      <c r="A49" t="s">
        <v>190</v>
      </c>
      <c r="B49" t="s">
        <v>59</v>
      </c>
      <c r="C49" t="s">
        <v>176</v>
      </c>
      <c r="D49" s="2">
        <v>0</v>
      </c>
      <c r="E49" s="2">
        <v>0</v>
      </c>
      <c r="F49" s="2">
        <v>0</v>
      </c>
      <c r="G49" t="s">
        <v>191</v>
      </c>
      <c r="H49" t="s">
        <v>192</v>
      </c>
    </row>
    <row r="50" spans="1:8" x14ac:dyDescent="0.25">
      <c r="A50" t="s">
        <v>193</v>
      </c>
      <c r="B50" t="s">
        <v>59</v>
      </c>
      <c r="C50" t="s">
        <v>176</v>
      </c>
      <c r="D50" s="2">
        <v>0</v>
      </c>
      <c r="E50" s="2">
        <v>0</v>
      </c>
      <c r="F50" s="2">
        <v>0</v>
      </c>
      <c r="G50" t="s">
        <v>191</v>
      </c>
      <c r="H50" t="s">
        <v>194</v>
      </c>
    </row>
    <row r="51" spans="1:8" x14ac:dyDescent="0.25">
      <c r="A51" t="s">
        <v>195</v>
      </c>
      <c r="B51" t="s">
        <v>196</v>
      </c>
      <c r="C51" t="s">
        <v>176</v>
      </c>
      <c r="D51" s="2">
        <v>0</v>
      </c>
      <c r="E51" s="2">
        <v>0</v>
      </c>
      <c r="F51" s="2">
        <v>0</v>
      </c>
      <c r="G51" t="s">
        <v>39</v>
      </c>
      <c r="H51" t="s">
        <v>197</v>
      </c>
    </row>
    <row r="52" spans="1:8" x14ac:dyDescent="0.25">
      <c r="A52" t="s">
        <v>198</v>
      </c>
      <c r="B52" t="s">
        <v>196</v>
      </c>
      <c r="C52" t="s">
        <v>176</v>
      </c>
      <c r="D52" s="2">
        <v>0</v>
      </c>
      <c r="E52" s="2">
        <v>0</v>
      </c>
      <c r="F52" s="2">
        <v>0</v>
      </c>
      <c r="G52" t="s">
        <v>22</v>
      </c>
      <c r="H52" t="s">
        <v>199</v>
      </c>
    </row>
    <row r="53" spans="1:8" x14ac:dyDescent="0.25">
      <c r="A53" t="s">
        <v>200</v>
      </c>
      <c r="B53" t="s">
        <v>201</v>
      </c>
      <c r="C53" t="s">
        <v>176</v>
      </c>
      <c r="D53" s="2">
        <v>0</v>
      </c>
      <c r="E53" s="2">
        <v>0</v>
      </c>
      <c r="F53" s="2">
        <v>0</v>
      </c>
      <c r="G53" t="s">
        <v>202</v>
      </c>
      <c r="H53" t="s">
        <v>59</v>
      </c>
    </row>
    <row r="54" spans="1:8" x14ac:dyDescent="0.25">
      <c r="A54" t="s">
        <v>203</v>
      </c>
      <c r="B54" t="s">
        <v>204</v>
      </c>
      <c r="C54" t="s">
        <v>176</v>
      </c>
      <c r="D54" s="2">
        <v>0</v>
      </c>
      <c r="E54" s="2">
        <v>0</v>
      </c>
      <c r="F54" s="2">
        <v>0</v>
      </c>
      <c r="G54" t="s">
        <v>205</v>
      </c>
      <c r="H54" t="s">
        <v>59</v>
      </c>
    </row>
    <row r="55" spans="1:8" x14ac:dyDescent="0.25">
      <c r="A55" t="s">
        <v>206</v>
      </c>
      <c r="B55" t="s">
        <v>207</v>
      </c>
      <c r="C55" t="s">
        <v>176</v>
      </c>
      <c r="D55" s="2">
        <v>0</v>
      </c>
      <c r="E55" s="2">
        <v>0</v>
      </c>
      <c r="F55" s="2">
        <v>0</v>
      </c>
      <c r="G55" t="s">
        <v>205</v>
      </c>
      <c r="H55" t="s">
        <v>59</v>
      </c>
    </row>
    <row r="56" spans="1:8" x14ac:dyDescent="0.25">
      <c r="A56" t="s">
        <v>208</v>
      </c>
      <c r="B56" t="s">
        <v>14</v>
      </c>
      <c r="C56" t="s">
        <v>176</v>
      </c>
      <c r="D56" s="2">
        <v>0</v>
      </c>
      <c r="E56" s="2">
        <v>0</v>
      </c>
      <c r="F56" s="2">
        <v>0</v>
      </c>
      <c r="G56" t="s">
        <v>59</v>
      </c>
      <c r="H56" t="s">
        <v>209</v>
      </c>
    </row>
    <row r="57" spans="1:8" x14ac:dyDescent="0.25">
      <c r="A57" t="s">
        <v>210</v>
      </c>
      <c r="B57" t="s">
        <v>14</v>
      </c>
      <c r="C57" t="s">
        <v>176</v>
      </c>
      <c r="D57" s="2">
        <v>0</v>
      </c>
      <c r="E57" s="2">
        <v>0</v>
      </c>
      <c r="F57" s="2">
        <v>0</v>
      </c>
      <c r="G57" t="s">
        <v>59</v>
      </c>
      <c r="H57" t="s">
        <v>211</v>
      </c>
    </row>
    <row r="58" spans="1:8" x14ac:dyDescent="0.25">
      <c r="A58" t="s">
        <v>212</v>
      </c>
      <c r="B58" t="s">
        <v>14</v>
      </c>
      <c r="C58" t="s">
        <v>15</v>
      </c>
      <c r="D58" s="9">
        <v>1.0192525481313699</v>
      </c>
      <c r="E58" s="9">
        <v>0.53763440860215095</v>
      </c>
      <c r="F58" s="9">
        <v>1.1648745519713299</v>
      </c>
      <c r="G58" t="s">
        <v>59</v>
      </c>
      <c r="H58" t="s">
        <v>213</v>
      </c>
    </row>
    <row r="59" spans="1:8" x14ac:dyDescent="0.25">
      <c r="A59" t="s">
        <v>214</v>
      </c>
      <c r="B59" t="s">
        <v>14</v>
      </c>
      <c r="C59" t="s">
        <v>15</v>
      </c>
      <c r="D59" s="12">
        <v>0.11325028312570801</v>
      </c>
      <c r="E59" s="12">
        <v>0</v>
      </c>
      <c r="F59" s="12">
        <v>0.53763440860215095</v>
      </c>
      <c r="G59" t="s">
        <v>59</v>
      </c>
      <c r="H59" t="s">
        <v>215</v>
      </c>
    </row>
    <row r="60" spans="1:8" x14ac:dyDescent="0.25">
      <c r="A60" t="s">
        <v>227</v>
      </c>
      <c r="B60" t="s">
        <v>207</v>
      </c>
      <c r="C60" t="s">
        <v>176</v>
      </c>
      <c r="D60" s="2">
        <v>0</v>
      </c>
      <c r="E60" s="2">
        <v>0</v>
      </c>
      <c r="F60" s="2">
        <v>0</v>
      </c>
      <c r="G60" t="s">
        <v>228</v>
      </c>
      <c r="H60" t="s">
        <v>59</v>
      </c>
    </row>
    <row r="61" spans="1:8" x14ac:dyDescent="0.25">
      <c r="A61" t="s">
        <v>229</v>
      </c>
      <c r="B61" t="s">
        <v>207</v>
      </c>
      <c r="C61" t="s">
        <v>176</v>
      </c>
      <c r="D61" s="2">
        <v>0</v>
      </c>
      <c r="E61" s="2">
        <v>0</v>
      </c>
      <c r="F61" s="2">
        <v>0</v>
      </c>
      <c r="G61" t="s">
        <v>228</v>
      </c>
      <c r="H61" t="s">
        <v>59</v>
      </c>
    </row>
    <row r="62" spans="1:8" x14ac:dyDescent="0.25">
      <c r="A62" t="s">
        <v>230</v>
      </c>
      <c r="B62" t="s">
        <v>207</v>
      </c>
      <c r="C62" t="s">
        <v>176</v>
      </c>
      <c r="D62" s="2">
        <v>0</v>
      </c>
      <c r="E62" s="2">
        <v>0</v>
      </c>
      <c r="F62" s="2">
        <v>0</v>
      </c>
      <c r="G62" t="s">
        <v>228</v>
      </c>
      <c r="H62" t="s">
        <v>59</v>
      </c>
    </row>
    <row r="63" spans="1:8" x14ac:dyDescent="0.25">
      <c r="A63" t="s">
        <v>231</v>
      </c>
      <c r="B63" t="s">
        <v>207</v>
      </c>
      <c r="C63" t="s">
        <v>176</v>
      </c>
      <c r="D63" s="2">
        <v>0</v>
      </c>
      <c r="E63" s="2">
        <v>0</v>
      </c>
      <c r="F63" s="2">
        <v>0</v>
      </c>
      <c r="G63" t="s">
        <v>228</v>
      </c>
      <c r="H63" t="s">
        <v>59</v>
      </c>
    </row>
    <row r="64" spans="1:8" x14ac:dyDescent="0.25">
      <c r="A64" t="s">
        <v>232</v>
      </c>
      <c r="B64" t="s">
        <v>207</v>
      </c>
      <c r="C64" t="s">
        <v>176</v>
      </c>
      <c r="D64" s="2">
        <v>0</v>
      </c>
      <c r="E64" s="2">
        <v>0</v>
      </c>
      <c r="F64" s="2">
        <v>0</v>
      </c>
      <c r="G64" t="s">
        <v>228</v>
      </c>
      <c r="H64" t="s">
        <v>59</v>
      </c>
    </row>
    <row r="65" spans="1:8" x14ac:dyDescent="0.25">
      <c r="A65" t="s">
        <v>233</v>
      </c>
      <c r="B65" t="s">
        <v>207</v>
      </c>
      <c r="C65" t="s">
        <v>176</v>
      </c>
      <c r="D65" s="2">
        <v>0</v>
      </c>
      <c r="E65" s="2">
        <v>0</v>
      </c>
      <c r="F65" s="2">
        <v>0</v>
      </c>
      <c r="G65" t="s">
        <v>228</v>
      </c>
      <c r="H65" t="s">
        <v>59</v>
      </c>
    </row>
    <row r="66" spans="1:8" x14ac:dyDescent="0.25">
      <c r="A66" t="s">
        <v>234</v>
      </c>
      <c r="B66" t="s">
        <v>207</v>
      </c>
      <c r="C66" t="s">
        <v>176</v>
      </c>
      <c r="D66" s="2">
        <v>0</v>
      </c>
      <c r="E66" s="2">
        <v>0</v>
      </c>
      <c r="F66" s="2">
        <v>0</v>
      </c>
      <c r="G66" t="s">
        <v>228</v>
      </c>
      <c r="H66" t="s">
        <v>59</v>
      </c>
    </row>
    <row r="67" spans="1:8" x14ac:dyDescent="0.25">
      <c r="A67" t="s">
        <v>235</v>
      </c>
      <c r="B67" t="s">
        <v>207</v>
      </c>
      <c r="C67" t="s">
        <v>176</v>
      </c>
      <c r="D67" s="2">
        <v>0</v>
      </c>
      <c r="E67" s="2">
        <v>0</v>
      </c>
      <c r="F67" s="2">
        <v>0</v>
      </c>
      <c r="G67" t="s">
        <v>228</v>
      </c>
      <c r="H67" t="s">
        <v>59</v>
      </c>
    </row>
    <row r="68" spans="1:8" x14ac:dyDescent="0.25">
      <c r="A68" t="s">
        <v>236</v>
      </c>
      <c r="B68" t="s">
        <v>207</v>
      </c>
      <c r="C68" t="s">
        <v>176</v>
      </c>
      <c r="D68" s="2">
        <v>0</v>
      </c>
      <c r="E68" s="2">
        <v>0</v>
      </c>
      <c r="F68" s="2">
        <v>0</v>
      </c>
      <c r="G68" t="s">
        <v>228</v>
      </c>
      <c r="H68" t="s">
        <v>59</v>
      </c>
    </row>
    <row r="69" spans="1:8" x14ac:dyDescent="0.25">
      <c r="A69" t="s">
        <v>237</v>
      </c>
      <c r="B69" t="s">
        <v>207</v>
      </c>
      <c r="C69" t="s">
        <v>176</v>
      </c>
      <c r="D69" s="2">
        <v>0</v>
      </c>
      <c r="E69" s="2">
        <v>0</v>
      </c>
      <c r="F69" s="2">
        <v>0</v>
      </c>
      <c r="G69" t="s">
        <v>228</v>
      </c>
      <c r="H69" t="s">
        <v>59</v>
      </c>
    </row>
    <row r="70" spans="1:8" x14ac:dyDescent="0.25">
      <c r="A70" t="s">
        <v>238</v>
      </c>
      <c r="B70" t="s">
        <v>207</v>
      </c>
      <c r="C70" t="s">
        <v>176</v>
      </c>
      <c r="D70" s="2">
        <v>0</v>
      </c>
      <c r="E70" s="2">
        <v>0</v>
      </c>
      <c r="F70" s="2">
        <v>0</v>
      </c>
      <c r="G70" t="s">
        <v>228</v>
      </c>
      <c r="H70" t="s">
        <v>59</v>
      </c>
    </row>
    <row r="71" spans="1:8" x14ac:dyDescent="0.25">
      <c r="A71" t="s">
        <v>239</v>
      </c>
      <c r="B71" t="s">
        <v>207</v>
      </c>
      <c r="C71" t="s">
        <v>176</v>
      </c>
      <c r="D71" s="2">
        <v>0</v>
      </c>
      <c r="E71" s="2">
        <v>0</v>
      </c>
      <c r="F71" s="2">
        <v>0</v>
      </c>
      <c r="G71" t="s">
        <v>228</v>
      </c>
      <c r="H71" t="s">
        <v>59</v>
      </c>
    </row>
    <row r="72" spans="1:8" x14ac:dyDescent="0.25">
      <c r="A72" t="s">
        <v>240</v>
      </c>
      <c r="B72" t="s">
        <v>59</v>
      </c>
      <c r="C72" t="s">
        <v>90</v>
      </c>
      <c r="D72" s="16" t="str">
        <f>[1]市区分院!$O$4</f>
        <v>颈椎间盘突出</v>
      </c>
      <c r="E72" s="16" t="str">
        <f>[1]市区分院!$I$4</f>
        <v>混合型颈椎病</v>
      </c>
      <c r="F72" s="16" t="str">
        <f>[1]市区分院!$C$4</f>
        <v>混合型颈椎病</v>
      </c>
      <c r="G72" t="s">
        <v>59</v>
      </c>
      <c r="H72" t="s">
        <v>59</v>
      </c>
    </row>
    <row r="73" spans="1:8" x14ac:dyDescent="0.25">
      <c r="A73" t="s">
        <v>241</v>
      </c>
      <c r="B73" t="s">
        <v>59</v>
      </c>
      <c r="C73" t="s">
        <v>90</v>
      </c>
      <c r="D73" s="16" t="str">
        <f>[1]市区分院!$N$4</f>
        <v>M50.2</v>
      </c>
      <c r="E73" s="16" t="str">
        <f>[1]市区分院!$H$4</f>
        <v>M47.8</v>
      </c>
      <c r="F73" s="16" t="str">
        <f>[1]市区分院!$B$4</f>
        <v>M47.8</v>
      </c>
      <c r="G73" t="s">
        <v>59</v>
      </c>
      <c r="H73" t="s">
        <v>59</v>
      </c>
    </row>
    <row r="74" spans="1:8" x14ac:dyDescent="0.25">
      <c r="A74" t="s">
        <v>242</v>
      </c>
      <c r="B74" t="s">
        <v>14</v>
      </c>
      <c r="C74" t="s">
        <v>90</v>
      </c>
      <c r="D74" s="16">
        <f>[1]市区分院!$Q$4</f>
        <v>19.8187995469989</v>
      </c>
      <c r="E74" s="16">
        <f>[1]市区分院!$K$4</f>
        <v>18.9247311827957</v>
      </c>
      <c r="F74" s="16">
        <f>[1]市区分院!$E$4</f>
        <v>18.100358422939099</v>
      </c>
      <c r="G74" t="s">
        <v>59</v>
      </c>
      <c r="H74" t="s">
        <v>59</v>
      </c>
    </row>
    <row r="75" spans="1:8" x14ac:dyDescent="0.25">
      <c r="A75" t="s">
        <v>243</v>
      </c>
      <c r="B75" t="s">
        <v>59</v>
      </c>
      <c r="C75" t="s">
        <v>90</v>
      </c>
      <c r="D75" s="16" t="str">
        <f>[1]市区分院!$O$5</f>
        <v>短暂性大脑缺血性发作和相关的综合征</v>
      </c>
      <c r="E75" s="16" t="str">
        <f>[1]市区分院!$I$5</f>
        <v>腰椎间盘突出</v>
      </c>
      <c r="F75" s="16" t="str">
        <f>[1]市区分院!$C$5</f>
        <v>短暂性大脑缺血性发作和相关的综合征</v>
      </c>
      <c r="G75" t="s">
        <v>59</v>
      </c>
      <c r="H75" t="s">
        <v>59</v>
      </c>
    </row>
    <row r="76" spans="1:8" x14ac:dyDescent="0.25">
      <c r="A76" t="s">
        <v>244</v>
      </c>
      <c r="B76" t="s">
        <v>59</v>
      </c>
      <c r="C76" t="s">
        <v>90</v>
      </c>
      <c r="D76" s="16" t="str">
        <f>[1]市区分院!$N$5</f>
        <v>G45</v>
      </c>
      <c r="E76" s="16" t="str">
        <f>[1]市区分院!$H$5</f>
        <v>M51</v>
      </c>
      <c r="F76" s="16" t="str">
        <f>[1]市区分院!$B$5</f>
        <v>G45</v>
      </c>
      <c r="G76" t="s">
        <v>59</v>
      </c>
      <c r="H76" t="s">
        <v>59</v>
      </c>
    </row>
    <row r="77" spans="1:8" x14ac:dyDescent="0.25">
      <c r="A77" t="s">
        <v>245</v>
      </c>
      <c r="B77" t="s">
        <v>14</v>
      </c>
      <c r="C77" t="s">
        <v>90</v>
      </c>
      <c r="D77" s="16">
        <f>[1]市区分院!$Q$5</f>
        <v>11.5515288788222</v>
      </c>
      <c r="E77" s="16">
        <f>[1]市区分院!$K$5</f>
        <v>12.473118279569899</v>
      </c>
      <c r="F77" s="16">
        <f>[1]市区分院!$E$5</f>
        <v>14.5161290322581</v>
      </c>
      <c r="G77" t="s">
        <v>59</v>
      </c>
      <c r="H77" t="s">
        <v>59</v>
      </c>
    </row>
    <row r="78" spans="1:8" x14ac:dyDescent="0.25">
      <c r="A78" t="s">
        <v>246</v>
      </c>
      <c r="B78" t="s">
        <v>59</v>
      </c>
      <c r="C78" t="s">
        <v>90</v>
      </c>
      <c r="D78" s="16" t="str">
        <f>[1]市区分院!$O$6</f>
        <v>腰椎间盘突出</v>
      </c>
      <c r="E78" s="16" t="str">
        <f>[1]市区分院!$I$6</f>
        <v>短暂性大脑缺血性发作和相关的综合征</v>
      </c>
      <c r="F78" s="16" t="str">
        <f>[1]市区分院!$C$6</f>
        <v>腰椎间盘突出</v>
      </c>
      <c r="G78" t="s">
        <v>59</v>
      </c>
      <c r="H78" t="s">
        <v>59</v>
      </c>
    </row>
    <row r="79" spans="1:8" x14ac:dyDescent="0.25">
      <c r="A79" t="s">
        <v>247</v>
      </c>
      <c r="B79" t="s">
        <v>59</v>
      </c>
      <c r="C79" t="s">
        <v>90</v>
      </c>
      <c r="D79" s="16" t="str">
        <f>[1]市区分院!$N$6</f>
        <v>M51</v>
      </c>
      <c r="E79" s="16" t="str">
        <f>[1]市区分院!$H$6</f>
        <v>G45</v>
      </c>
      <c r="F79" s="16" t="str">
        <f>[1]市区分院!$B$6</f>
        <v>M51</v>
      </c>
      <c r="G79" t="s">
        <v>59</v>
      </c>
      <c r="H79" t="s">
        <v>59</v>
      </c>
    </row>
    <row r="80" spans="1:8" x14ac:dyDescent="0.25">
      <c r="A80" t="s">
        <v>248</v>
      </c>
      <c r="B80" t="s">
        <v>14</v>
      </c>
      <c r="C80" t="s">
        <v>90</v>
      </c>
      <c r="D80" s="16">
        <f>[1]市区分院!$Q$6</f>
        <v>10.079275198188</v>
      </c>
      <c r="E80" s="16">
        <f>[1]市区分院!$K$6</f>
        <v>11.1827956989247</v>
      </c>
      <c r="F80" s="16">
        <f>[1]市区分院!$E$6</f>
        <v>10.573476702509</v>
      </c>
      <c r="G80" t="s">
        <v>59</v>
      </c>
      <c r="H80" t="s">
        <v>59</v>
      </c>
    </row>
    <row r="81" spans="1:8" x14ac:dyDescent="0.25">
      <c r="A81" t="s">
        <v>249</v>
      </c>
      <c r="B81" t="s">
        <v>59</v>
      </c>
      <c r="C81" t="s">
        <v>90</v>
      </c>
      <c r="D81" s="16" t="str">
        <f>[1]市区分院!$O$7</f>
        <v>脑梗死</v>
      </c>
      <c r="E81" s="16" t="str">
        <f>[1]市区分院!$I$7</f>
        <v>冠状动脉硬化性心脏病</v>
      </c>
      <c r="F81" s="16" t="str">
        <f>[1]市区分院!$C$7</f>
        <v>细菌性肺炎</v>
      </c>
      <c r="G81" t="s">
        <v>59</v>
      </c>
      <c r="H81" t="s">
        <v>59</v>
      </c>
    </row>
    <row r="82" spans="1:8" x14ac:dyDescent="0.25">
      <c r="A82" t="s">
        <v>250</v>
      </c>
      <c r="B82" t="s">
        <v>59</v>
      </c>
      <c r="C82" t="s">
        <v>90</v>
      </c>
      <c r="D82" s="16" t="str">
        <f>[1]市区分院!$N$7</f>
        <v>I63</v>
      </c>
      <c r="E82" s="16" t="str">
        <f>[1]市区分院!$H$7</f>
        <v>I25.1</v>
      </c>
      <c r="F82" s="16" t="str">
        <f>[1]市区分院!$B$7</f>
        <v>J13-J18</v>
      </c>
      <c r="G82" t="s">
        <v>59</v>
      </c>
      <c r="H82" t="s">
        <v>59</v>
      </c>
    </row>
    <row r="83" spans="1:8" x14ac:dyDescent="0.25">
      <c r="A83" t="s">
        <v>251</v>
      </c>
      <c r="B83" t="s">
        <v>14</v>
      </c>
      <c r="C83" t="s">
        <v>90</v>
      </c>
      <c r="D83" s="16">
        <f>[1]市区分院!$Q$7</f>
        <v>9.1732729331823304</v>
      </c>
      <c r="E83" s="16">
        <f>[1]市区分院!$K$7</f>
        <v>6.6666666666666696</v>
      </c>
      <c r="F83" s="16">
        <f>[1]市区分院!$E$7</f>
        <v>9.3189964157706093</v>
      </c>
      <c r="G83" t="s">
        <v>59</v>
      </c>
      <c r="H83" t="s">
        <v>59</v>
      </c>
    </row>
    <row r="84" spans="1:8" x14ac:dyDescent="0.25">
      <c r="A84" t="s">
        <v>252</v>
      </c>
      <c r="B84" t="s">
        <v>59</v>
      </c>
      <c r="C84" t="s">
        <v>90</v>
      </c>
      <c r="D84" s="16" t="str">
        <f>[1]市区分院!$O$8</f>
        <v>2型糖尿病及并发症</v>
      </c>
      <c r="E84" s="16" t="str">
        <f>[1]市区分院!$I$8</f>
        <v>脑梗死</v>
      </c>
      <c r="F84" s="16" t="str">
        <f>[1]市区分院!$C$8</f>
        <v>冠状动脉硬化性心脏病</v>
      </c>
      <c r="G84" t="s">
        <v>59</v>
      </c>
      <c r="H84" t="s">
        <v>59</v>
      </c>
    </row>
    <row r="85" spans="1:8" x14ac:dyDescent="0.25">
      <c r="A85" t="s">
        <v>253</v>
      </c>
      <c r="B85" t="s">
        <v>59</v>
      </c>
      <c r="C85" t="s">
        <v>90</v>
      </c>
      <c r="D85" s="16" t="str">
        <f>[1]市区分院!$N$8</f>
        <v>E11</v>
      </c>
      <c r="E85" s="16" t="str">
        <f>[1]市区分院!$H$8</f>
        <v>I63</v>
      </c>
      <c r="F85" s="16" t="str">
        <f>[1]市区分院!$B$8</f>
        <v>I25.1</v>
      </c>
      <c r="G85" t="s">
        <v>59</v>
      </c>
      <c r="H85" t="s">
        <v>59</v>
      </c>
    </row>
    <row r="86" spans="1:8" x14ac:dyDescent="0.25">
      <c r="A86" t="s">
        <v>254</v>
      </c>
      <c r="B86" t="s">
        <v>14</v>
      </c>
      <c r="C86" t="s">
        <v>90</v>
      </c>
      <c r="D86" s="16">
        <f>[1]市区分院!$Q$8</f>
        <v>7.3612684031710103</v>
      </c>
      <c r="E86" s="16">
        <f>[1]市区分院!$K$8</f>
        <v>7.5268817204301097</v>
      </c>
      <c r="F86" s="16">
        <f>[1]市区分院!$E$8</f>
        <v>6.3620071684587796</v>
      </c>
      <c r="G86" t="s">
        <v>59</v>
      </c>
      <c r="H86" t="s">
        <v>59</v>
      </c>
    </row>
    <row r="87" spans="1:8" x14ac:dyDescent="0.25">
      <c r="A87" t="s">
        <v>255</v>
      </c>
      <c r="B87" t="s">
        <v>59</v>
      </c>
      <c r="C87" t="s">
        <v>90</v>
      </c>
      <c r="D87" s="1" t="s">
        <v>59</v>
      </c>
      <c r="E87" s="1" t="s">
        <v>59</v>
      </c>
      <c r="F87" s="1" t="s">
        <v>59</v>
      </c>
      <c r="G87" t="s">
        <v>59</v>
      </c>
      <c r="H87" t="s">
        <v>59</v>
      </c>
    </row>
    <row r="88" spans="1:8" x14ac:dyDescent="0.25">
      <c r="A88" t="s">
        <v>256</v>
      </c>
      <c r="B88" t="s">
        <v>59</v>
      </c>
      <c r="C88" t="s">
        <v>90</v>
      </c>
      <c r="D88" s="1" t="s">
        <v>59</v>
      </c>
      <c r="E88" s="1" t="s">
        <v>59</v>
      </c>
      <c r="F88" s="1" t="s">
        <v>59</v>
      </c>
      <c r="G88" t="s">
        <v>59</v>
      </c>
      <c r="H88" t="s">
        <v>59</v>
      </c>
    </row>
    <row r="89" spans="1:8" x14ac:dyDescent="0.25">
      <c r="A89" t="s">
        <v>257</v>
      </c>
      <c r="B89" t="s">
        <v>14</v>
      </c>
      <c r="C89" t="s">
        <v>90</v>
      </c>
      <c r="D89" s="1" t="s">
        <v>59</v>
      </c>
      <c r="E89" s="1" t="s">
        <v>59</v>
      </c>
      <c r="F89" s="1" t="s">
        <v>59</v>
      </c>
      <c r="G89" t="s">
        <v>59</v>
      </c>
      <c r="H89" t="s">
        <v>59</v>
      </c>
    </row>
    <row r="90" spans="1:8" x14ac:dyDescent="0.25">
      <c r="A90" t="s">
        <v>258</v>
      </c>
      <c r="B90" t="s">
        <v>59</v>
      </c>
      <c r="C90" t="s">
        <v>90</v>
      </c>
      <c r="D90" s="1" t="s">
        <v>59</v>
      </c>
      <c r="E90" s="1" t="s">
        <v>59</v>
      </c>
      <c r="F90" s="1" t="s">
        <v>59</v>
      </c>
      <c r="G90" t="s">
        <v>59</v>
      </c>
      <c r="H90" t="s">
        <v>59</v>
      </c>
    </row>
    <row r="91" spans="1:8" x14ac:dyDescent="0.25">
      <c r="A91" t="s">
        <v>259</v>
      </c>
      <c r="B91" t="s">
        <v>59</v>
      </c>
      <c r="C91" t="s">
        <v>90</v>
      </c>
      <c r="D91" s="1" t="s">
        <v>59</v>
      </c>
      <c r="E91" s="1" t="s">
        <v>59</v>
      </c>
      <c r="F91" s="1" t="s">
        <v>59</v>
      </c>
      <c r="G91" t="s">
        <v>59</v>
      </c>
      <c r="H91" t="s">
        <v>59</v>
      </c>
    </row>
    <row r="92" spans="1:8" x14ac:dyDescent="0.25">
      <c r="A92" t="s">
        <v>260</v>
      </c>
      <c r="B92" t="s">
        <v>14</v>
      </c>
      <c r="C92" t="s">
        <v>90</v>
      </c>
      <c r="D92" s="1" t="s">
        <v>59</v>
      </c>
      <c r="E92" s="1" t="s">
        <v>59</v>
      </c>
      <c r="F92" s="1" t="s">
        <v>59</v>
      </c>
      <c r="G92" t="s">
        <v>59</v>
      </c>
      <c r="H92" t="s">
        <v>59</v>
      </c>
    </row>
    <row r="93" spans="1:8" x14ac:dyDescent="0.25">
      <c r="A93" t="s">
        <v>261</v>
      </c>
      <c r="B93" t="s">
        <v>59</v>
      </c>
      <c r="C93" t="s">
        <v>90</v>
      </c>
      <c r="D93" s="1" t="s">
        <v>59</v>
      </c>
      <c r="E93" s="1" t="s">
        <v>59</v>
      </c>
      <c r="F93" s="1" t="s">
        <v>59</v>
      </c>
      <c r="G93" t="s">
        <v>59</v>
      </c>
      <c r="H93" t="s">
        <v>59</v>
      </c>
    </row>
    <row r="94" spans="1:8" x14ac:dyDescent="0.25">
      <c r="A94" t="s">
        <v>262</v>
      </c>
      <c r="B94" t="s">
        <v>59</v>
      </c>
      <c r="C94" t="s">
        <v>90</v>
      </c>
      <c r="D94" s="1" t="s">
        <v>59</v>
      </c>
      <c r="E94" s="1" t="s">
        <v>59</v>
      </c>
      <c r="F94" s="1" t="s">
        <v>59</v>
      </c>
      <c r="G94" t="s">
        <v>59</v>
      </c>
      <c r="H94" t="s">
        <v>59</v>
      </c>
    </row>
    <row r="95" spans="1:8" x14ac:dyDescent="0.25">
      <c r="A95" t="s">
        <v>263</v>
      </c>
      <c r="B95" t="s">
        <v>14</v>
      </c>
      <c r="C95" t="s">
        <v>90</v>
      </c>
      <c r="D95" s="1" t="s">
        <v>59</v>
      </c>
      <c r="E95" s="1" t="s">
        <v>59</v>
      </c>
      <c r="F95" s="1" t="s">
        <v>59</v>
      </c>
      <c r="G95" t="s">
        <v>59</v>
      </c>
      <c r="H95" t="s">
        <v>59</v>
      </c>
    </row>
    <row r="96" spans="1:8" x14ac:dyDescent="0.25">
      <c r="A96" t="s">
        <v>264</v>
      </c>
      <c r="B96" t="s">
        <v>59</v>
      </c>
      <c r="C96" t="s">
        <v>90</v>
      </c>
      <c r="D96" s="1" t="s">
        <v>59</v>
      </c>
      <c r="E96" s="1" t="s">
        <v>59</v>
      </c>
      <c r="F96" s="1" t="s">
        <v>59</v>
      </c>
      <c r="G96" t="s">
        <v>59</v>
      </c>
      <c r="H96" t="s">
        <v>59</v>
      </c>
    </row>
    <row r="97" spans="1:8" x14ac:dyDescent="0.25">
      <c r="A97" t="s">
        <v>265</v>
      </c>
      <c r="B97" t="s">
        <v>59</v>
      </c>
      <c r="C97" t="s">
        <v>90</v>
      </c>
      <c r="D97" s="1" t="s">
        <v>59</v>
      </c>
      <c r="E97" s="1" t="s">
        <v>59</v>
      </c>
      <c r="F97" s="1" t="s">
        <v>59</v>
      </c>
      <c r="G97" t="s">
        <v>59</v>
      </c>
      <c r="H97" t="s">
        <v>59</v>
      </c>
    </row>
    <row r="98" spans="1:8" x14ac:dyDescent="0.25">
      <c r="A98" t="s">
        <v>266</v>
      </c>
      <c r="B98" t="s">
        <v>14</v>
      </c>
      <c r="C98" t="s">
        <v>90</v>
      </c>
      <c r="D98" s="1" t="s">
        <v>59</v>
      </c>
      <c r="E98" s="1" t="s">
        <v>59</v>
      </c>
      <c r="F98" s="1" t="s">
        <v>59</v>
      </c>
      <c r="G98" t="s">
        <v>59</v>
      </c>
      <c r="H98" t="s">
        <v>59</v>
      </c>
    </row>
    <row r="99" spans="1:8" x14ac:dyDescent="0.25">
      <c r="A99" t="s">
        <v>267</v>
      </c>
      <c r="B99" t="s">
        <v>59</v>
      </c>
      <c r="C99" t="s">
        <v>90</v>
      </c>
      <c r="D99" s="1" t="s">
        <v>59</v>
      </c>
      <c r="E99" s="1" t="s">
        <v>59</v>
      </c>
      <c r="F99" s="1" t="s">
        <v>59</v>
      </c>
      <c r="G99" t="s">
        <v>59</v>
      </c>
      <c r="H99" t="s">
        <v>59</v>
      </c>
    </row>
    <row r="100" spans="1:8" x14ac:dyDescent="0.25">
      <c r="A100" t="s">
        <v>268</v>
      </c>
      <c r="B100" t="s">
        <v>59</v>
      </c>
      <c r="C100" t="s">
        <v>90</v>
      </c>
      <c r="D100" s="1" t="s">
        <v>59</v>
      </c>
      <c r="E100" s="1" t="s">
        <v>59</v>
      </c>
      <c r="F100" s="1" t="s">
        <v>59</v>
      </c>
      <c r="G100" t="s">
        <v>59</v>
      </c>
      <c r="H100" t="s">
        <v>59</v>
      </c>
    </row>
    <row r="101" spans="1:8" x14ac:dyDescent="0.25">
      <c r="A101" t="s">
        <v>269</v>
      </c>
      <c r="B101" t="s">
        <v>14</v>
      </c>
      <c r="C101" t="s">
        <v>90</v>
      </c>
      <c r="D101" s="1" t="s">
        <v>59</v>
      </c>
      <c r="E101" s="1" t="s">
        <v>59</v>
      </c>
      <c r="F101" s="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2.6385224274406299E-2</v>
      </c>
      <c r="E2" s="6">
        <v>0</v>
      </c>
      <c r="F2" s="6">
        <v>0</v>
      </c>
      <c r="G2" t="s">
        <v>16</v>
      </c>
      <c r="H2" t="s">
        <v>17</v>
      </c>
    </row>
    <row r="3" spans="1:8" x14ac:dyDescent="0.25">
      <c r="A3" t="s">
        <v>18</v>
      </c>
      <c r="B3" t="s">
        <v>14</v>
      </c>
      <c r="C3" t="s">
        <v>15</v>
      </c>
      <c r="D3" s="6">
        <v>0</v>
      </c>
      <c r="E3" s="6">
        <v>0</v>
      </c>
      <c r="F3" s="6">
        <v>0</v>
      </c>
      <c r="G3" t="s">
        <v>19</v>
      </c>
      <c r="H3" t="s">
        <v>20</v>
      </c>
    </row>
    <row r="4" spans="1:8" x14ac:dyDescent="0.25">
      <c r="A4" t="s">
        <v>21</v>
      </c>
      <c r="B4" t="s">
        <v>14</v>
      </c>
      <c r="C4" t="s">
        <v>15</v>
      </c>
      <c r="D4" s="6">
        <v>100</v>
      </c>
      <c r="E4" s="6">
        <v>0</v>
      </c>
      <c r="F4" s="6">
        <v>0</v>
      </c>
      <c r="G4" t="s">
        <v>22</v>
      </c>
      <c r="H4" t="s">
        <v>23</v>
      </c>
    </row>
    <row r="5" spans="1:8" x14ac:dyDescent="0.25">
      <c r="A5" t="s">
        <v>24</v>
      </c>
      <c r="B5" t="s">
        <v>14</v>
      </c>
      <c r="C5" t="s">
        <v>15</v>
      </c>
      <c r="D5" s="6">
        <v>94.2</v>
      </c>
      <c r="E5" s="6">
        <v>85.97</v>
      </c>
      <c r="F5" s="6">
        <v>85.51</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0.24</v>
      </c>
      <c r="E10" s="6">
        <v>0.18</v>
      </c>
      <c r="F10" s="6">
        <v>0.27</v>
      </c>
      <c r="G10" t="s">
        <v>58</v>
      </c>
      <c r="H10" t="s">
        <v>59</v>
      </c>
    </row>
    <row r="11" spans="1:8" x14ac:dyDescent="0.25">
      <c r="A11" t="s">
        <v>63</v>
      </c>
      <c r="B11" t="s">
        <v>64</v>
      </c>
      <c r="C11" t="s">
        <v>61</v>
      </c>
      <c r="D11" s="5">
        <v>20.4678102909103</v>
      </c>
      <c r="E11" s="5">
        <v>21.953070250862101</v>
      </c>
      <c r="F11" s="5">
        <v>32.008468433268902</v>
      </c>
      <c r="G11" t="s">
        <v>35</v>
      </c>
      <c r="H11" t="s">
        <v>65</v>
      </c>
    </row>
    <row r="12" spans="1:8" x14ac:dyDescent="0.25">
      <c r="A12" t="s">
        <v>66</v>
      </c>
      <c r="B12" t="s">
        <v>14</v>
      </c>
      <c r="C12" t="s">
        <v>61</v>
      </c>
      <c r="D12" s="6">
        <v>60.12</v>
      </c>
      <c r="E12" s="6">
        <v>46.81</v>
      </c>
      <c r="F12" s="6">
        <v>54.41</v>
      </c>
      <c r="G12" t="s">
        <v>39</v>
      </c>
      <c r="H12" t="s">
        <v>67</v>
      </c>
    </row>
    <row r="13" spans="1:8" x14ac:dyDescent="0.25">
      <c r="A13" t="s">
        <v>68</v>
      </c>
      <c r="B13" t="s">
        <v>14</v>
      </c>
      <c r="C13" t="s">
        <v>61</v>
      </c>
      <c r="D13" s="6">
        <v>95.24</v>
      </c>
      <c r="E13" s="6">
        <v>91.63</v>
      </c>
      <c r="F13" s="6">
        <v>89.02</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4.6500000000000004</v>
      </c>
      <c r="E15" s="6">
        <v>4.59</v>
      </c>
      <c r="F15" s="6">
        <v>5.14</v>
      </c>
      <c r="G15" t="s">
        <v>93</v>
      </c>
      <c r="H15" t="s">
        <v>94</v>
      </c>
    </row>
    <row r="16" spans="1:8" x14ac:dyDescent="0.25">
      <c r="A16" t="s">
        <v>95</v>
      </c>
      <c r="B16" t="s">
        <v>59</v>
      </c>
      <c r="C16" t="s">
        <v>34</v>
      </c>
      <c r="D16" s="6">
        <v>0.76</v>
      </c>
      <c r="E16" s="6">
        <v>0.56999999999999995</v>
      </c>
      <c r="F16" s="6">
        <v>0.55000000000000004</v>
      </c>
      <c r="G16" t="s">
        <v>96</v>
      </c>
      <c r="H16" t="s">
        <v>59</v>
      </c>
    </row>
    <row r="17" spans="1:8" x14ac:dyDescent="0.25">
      <c r="A17" t="s">
        <v>97</v>
      </c>
      <c r="B17" t="s">
        <v>98</v>
      </c>
      <c r="C17" t="s">
        <v>34</v>
      </c>
      <c r="D17" s="6">
        <v>131</v>
      </c>
      <c r="E17" s="6">
        <v>134</v>
      </c>
      <c r="F17" s="6">
        <v>134</v>
      </c>
      <c r="G17" t="s">
        <v>99</v>
      </c>
      <c r="H17" t="s">
        <v>59</v>
      </c>
    </row>
    <row r="18" spans="1:8" x14ac:dyDescent="0.25">
      <c r="A18" t="s">
        <v>104</v>
      </c>
      <c r="B18" t="s">
        <v>105</v>
      </c>
      <c r="C18" t="s">
        <v>15</v>
      </c>
      <c r="D18" s="6">
        <v>33</v>
      </c>
      <c r="E18" s="6">
        <v>33</v>
      </c>
      <c r="F18" s="6">
        <v>33</v>
      </c>
      <c r="G18" t="s">
        <v>58</v>
      </c>
      <c r="H18" t="s">
        <v>59</v>
      </c>
    </row>
    <row r="19" spans="1:8" x14ac:dyDescent="0.25">
      <c r="A19" t="s">
        <v>106</v>
      </c>
      <c r="B19" t="s">
        <v>105</v>
      </c>
      <c r="C19" t="s">
        <v>15</v>
      </c>
      <c r="D19" s="6">
        <v>55</v>
      </c>
      <c r="E19" s="6">
        <v>33</v>
      </c>
      <c r="F19" s="6">
        <v>70</v>
      </c>
      <c r="G19" t="s">
        <v>58</v>
      </c>
      <c r="H19" t="s">
        <v>59</v>
      </c>
    </row>
    <row r="20" spans="1:8" x14ac:dyDescent="0.25">
      <c r="A20" t="s">
        <v>107</v>
      </c>
      <c r="B20" t="s">
        <v>14</v>
      </c>
      <c r="C20" t="s">
        <v>15</v>
      </c>
      <c r="D20" s="6">
        <v>103.79</v>
      </c>
      <c r="E20" s="6">
        <v>79.37</v>
      </c>
      <c r="F20" s="6">
        <v>89.52</v>
      </c>
      <c r="G20" t="s">
        <v>58</v>
      </c>
      <c r="H20" t="s">
        <v>108</v>
      </c>
    </row>
    <row r="21" spans="1:8" x14ac:dyDescent="0.25">
      <c r="A21" t="s">
        <v>112</v>
      </c>
      <c r="B21" t="s">
        <v>59</v>
      </c>
      <c r="C21" t="s">
        <v>102</v>
      </c>
      <c r="D21" s="5">
        <f t="shared" ref="D21:F21" si="0">D43/D19</f>
        <v>0.34545454545454546</v>
      </c>
      <c r="E21" s="5">
        <f t="shared" si="0"/>
        <v>0.54545454545454541</v>
      </c>
      <c r="F21" s="5">
        <f t="shared" si="0"/>
        <v>0.25714285714285712</v>
      </c>
      <c r="G21" t="s">
        <v>110</v>
      </c>
      <c r="H21" t="s">
        <v>113</v>
      </c>
    </row>
    <row r="22" spans="1:8" x14ac:dyDescent="0.25">
      <c r="A22" t="s">
        <v>114</v>
      </c>
      <c r="B22" t="s">
        <v>59</v>
      </c>
      <c r="C22" t="s">
        <v>102</v>
      </c>
      <c r="D22" s="5">
        <f t="shared" ref="D22:F22" si="1">D44/D19</f>
        <v>0.5636363636363636</v>
      </c>
      <c r="E22" s="5">
        <f t="shared" si="1"/>
        <v>0.87878787878787878</v>
      </c>
      <c r="F22" s="5">
        <f t="shared" si="1"/>
        <v>0.44285714285714284</v>
      </c>
      <c r="G22" t="s">
        <v>110</v>
      </c>
      <c r="H22" t="s">
        <v>115</v>
      </c>
    </row>
    <row r="23" spans="1:8" x14ac:dyDescent="0.25">
      <c r="A23" t="s">
        <v>116</v>
      </c>
      <c r="B23" t="s">
        <v>117</v>
      </c>
      <c r="C23" t="s">
        <v>118</v>
      </c>
      <c r="D23" s="5">
        <v>12.509280607843101</v>
      </c>
      <c r="E23" s="5">
        <v>9.6410149622641494</v>
      </c>
      <c r="F23" s="5">
        <v>13.868641800000001</v>
      </c>
      <c r="G23" t="s">
        <v>119</v>
      </c>
      <c r="H23" t="s">
        <v>59</v>
      </c>
    </row>
    <row r="24" spans="1:8" x14ac:dyDescent="0.25">
      <c r="A24" t="s">
        <v>120</v>
      </c>
      <c r="B24" t="s">
        <v>117</v>
      </c>
      <c r="C24" t="s">
        <v>118</v>
      </c>
      <c r="D24" s="5">
        <v>35.396106764705898</v>
      </c>
      <c r="E24" s="5">
        <v>26.2820117358491</v>
      </c>
      <c r="F24" s="5">
        <v>34.492647709090903</v>
      </c>
      <c r="G24" t="s">
        <v>121</v>
      </c>
      <c r="H24" t="s">
        <v>59</v>
      </c>
    </row>
    <row r="25" spans="1:8" x14ac:dyDescent="0.25">
      <c r="A25" t="s">
        <v>122</v>
      </c>
      <c r="B25" t="s">
        <v>117</v>
      </c>
      <c r="C25" t="s">
        <v>118</v>
      </c>
      <c r="D25" s="5">
        <v>13.355103851789799</v>
      </c>
      <c r="E25" s="5">
        <v>9.3705078488905205</v>
      </c>
      <c r="F25" s="5">
        <v>10.8967899857143</v>
      </c>
      <c r="G25" t="s">
        <v>123</v>
      </c>
      <c r="H25" t="s">
        <v>59</v>
      </c>
    </row>
    <row r="26" spans="1:8" x14ac:dyDescent="0.25">
      <c r="A26" t="s">
        <v>124</v>
      </c>
      <c r="B26" t="s">
        <v>117</v>
      </c>
      <c r="C26" t="s">
        <v>118</v>
      </c>
      <c r="D26" s="5">
        <v>37.789437827088101</v>
      </c>
      <c r="E26" s="5">
        <v>25.544592371171799</v>
      </c>
      <c r="F26" s="5">
        <v>27.101366057142901</v>
      </c>
      <c r="G26" t="s">
        <v>125</v>
      </c>
      <c r="H26" t="s">
        <v>59</v>
      </c>
    </row>
    <row r="27" spans="1:8" x14ac:dyDescent="0.25">
      <c r="A27" t="s">
        <v>126</v>
      </c>
      <c r="B27" t="s">
        <v>127</v>
      </c>
      <c r="C27" t="s">
        <v>118</v>
      </c>
      <c r="D27" s="5">
        <v>2.6092285508291302</v>
      </c>
      <c r="E27" s="5">
        <v>2.4112633181126299</v>
      </c>
      <c r="F27" s="5">
        <v>3.48127853881279</v>
      </c>
      <c r="G27" t="s">
        <v>39</v>
      </c>
      <c r="H27" t="s">
        <v>128</v>
      </c>
    </row>
    <row r="28" spans="1:8" x14ac:dyDescent="0.25">
      <c r="A28" t="s">
        <v>129</v>
      </c>
      <c r="B28" t="s">
        <v>14</v>
      </c>
      <c r="C28" t="s">
        <v>118</v>
      </c>
      <c r="D28" s="5">
        <v>22.480683678424501</v>
      </c>
      <c r="E28" s="5">
        <v>24.478842640211401</v>
      </c>
      <c r="F28" s="5">
        <v>22.687486226063001</v>
      </c>
      <c r="G28" t="s">
        <v>130</v>
      </c>
      <c r="H28" t="s">
        <v>131</v>
      </c>
    </row>
    <row r="29" spans="1:8" x14ac:dyDescent="0.25">
      <c r="A29" t="s">
        <v>132</v>
      </c>
      <c r="B29" t="s">
        <v>117</v>
      </c>
      <c r="C29" t="s">
        <v>118</v>
      </c>
      <c r="D29" s="5">
        <v>2837.8732610000002</v>
      </c>
      <c r="E29" s="5">
        <v>2087.4099339999998</v>
      </c>
      <c r="F29" s="5">
        <v>3362.0970229999998</v>
      </c>
      <c r="G29" t="s">
        <v>59</v>
      </c>
      <c r="H29" t="s">
        <v>133</v>
      </c>
    </row>
    <row r="30" spans="1:8" x14ac:dyDescent="0.25">
      <c r="A30" t="s">
        <v>134</v>
      </c>
      <c r="B30" t="s">
        <v>117</v>
      </c>
      <c r="C30" t="s">
        <v>118</v>
      </c>
      <c r="D30" s="5">
        <v>637.97331099999997</v>
      </c>
      <c r="E30" s="5">
        <v>510.973793</v>
      </c>
      <c r="F30" s="5">
        <v>762.77529900000002</v>
      </c>
      <c r="G30" t="s">
        <v>59</v>
      </c>
      <c r="H30" t="s">
        <v>59</v>
      </c>
    </row>
    <row r="31" spans="1:8" x14ac:dyDescent="0.25">
      <c r="A31" t="s">
        <v>135</v>
      </c>
      <c r="B31" t="s">
        <v>117</v>
      </c>
      <c r="C31" t="s">
        <v>118</v>
      </c>
      <c r="D31" s="5">
        <v>1805.2014449999999</v>
      </c>
      <c r="E31" s="5">
        <v>1392.9466219999999</v>
      </c>
      <c r="F31" s="5">
        <v>1897.095624</v>
      </c>
      <c r="G31" t="s">
        <v>59</v>
      </c>
      <c r="H31" t="s">
        <v>136</v>
      </c>
    </row>
    <row r="32" spans="1:8" x14ac:dyDescent="0.25">
      <c r="A32" t="s">
        <v>216</v>
      </c>
      <c r="B32" t="s">
        <v>117</v>
      </c>
      <c r="D32" s="7">
        <v>2187.87</v>
      </c>
      <c r="E32" s="7">
        <v>1665.63</v>
      </c>
      <c r="F32" s="7">
        <v>2408.33</v>
      </c>
    </row>
    <row r="33" spans="1:8" x14ac:dyDescent="0.25">
      <c r="A33" t="s">
        <v>143</v>
      </c>
      <c r="B33" t="s">
        <v>14</v>
      </c>
      <c r="D33" s="8">
        <v>-7.86</v>
      </c>
      <c r="E33" s="8">
        <v>-28.2</v>
      </c>
      <c r="F33" s="8">
        <v>-15.22</v>
      </c>
    </row>
    <row r="34" spans="1:8" x14ac:dyDescent="0.25">
      <c r="A34" t="s">
        <v>137</v>
      </c>
      <c r="B34" t="s">
        <v>138</v>
      </c>
      <c r="C34" t="s">
        <v>139</v>
      </c>
      <c r="D34" s="6"/>
      <c r="E34" s="6"/>
      <c r="F34" s="6"/>
      <c r="G34" t="s">
        <v>35</v>
      </c>
      <c r="H34" t="s">
        <v>140</v>
      </c>
    </row>
    <row r="35" spans="1:8" x14ac:dyDescent="0.25">
      <c r="A35" t="s">
        <v>217</v>
      </c>
      <c r="B35" t="s">
        <v>14</v>
      </c>
      <c r="C35" t="s">
        <v>118</v>
      </c>
      <c r="D35" s="5">
        <v>55.536406986851702</v>
      </c>
      <c r="E35" s="5">
        <v>49.889688701653903</v>
      </c>
      <c r="F35" s="5">
        <v>54.467196171691199</v>
      </c>
      <c r="G35" t="s">
        <v>22</v>
      </c>
      <c r="H35" t="s">
        <v>218</v>
      </c>
    </row>
    <row r="36" spans="1:8" x14ac:dyDescent="0.25">
      <c r="A36" t="s">
        <v>219</v>
      </c>
      <c r="B36" t="s">
        <v>14</v>
      </c>
      <c r="C36" t="s">
        <v>118</v>
      </c>
      <c r="D36" s="5">
        <v>44.463593013148298</v>
      </c>
      <c r="E36" s="5">
        <v>50.110311298346097</v>
      </c>
      <c r="F36" s="5">
        <v>45.532803828308801</v>
      </c>
      <c r="G36" t="s">
        <v>22</v>
      </c>
      <c r="H36" t="s">
        <v>220</v>
      </c>
    </row>
    <row r="37" spans="1:8" x14ac:dyDescent="0.25">
      <c r="A37" t="s">
        <v>144</v>
      </c>
      <c r="B37" t="s">
        <v>14</v>
      </c>
      <c r="C37" t="s">
        <v>118</v>
      </c>
      <c r="D37" s="5">
        <v>35.951890176258999</v>
      </c>
      <c r="E37" s="5">
        <v>-37.913453427426603</v>
      </c>
      <c r="F37" s="5">
        <v>-13.894405422477</v>
      </c>
      <c r="G37" t="s">
        <v>35</v>
      </c>
      <c r="H37" t="s">
        <v>145</v>
      </c>
    </row>
    <row r="38" spans="1:8" x14ac:dyDescent="0.25">
      <c r="A38" t="s">
        <v>146</v>
      </c>
      <c r="B38" t="s">
        <v>14</v>
      </c>
      <c r="C38" t="s">
        <v>118</v>
      </c>
      <c r="D38" s="5">
        <v>17.491156281092401</v>
      </c>
      <c r="E38" s="5">
        <v>-1.2235391465416601</v>
      </c>
      <c r="F38" s="5">
        <v>12.250356032869901</v>
      </c>
      <c r="G38" t="s">
        <v>35</v>
      </c>
      <c r="H38" t="s">
        <v>147</v>
      </c>
    </row>
    <row r="39" spans="1:8" x14ac:dyDescent="0.25">
      <c r="A39" t="s">
        <v>148</v>
      </c>
      <c r="B39" t="s">
        <v>14</v>
      </c>
      <c r="C39" t="s">
        <v>118</v>
      </c>
      <c r="D39" s="5">
        <v>6.9927604182887801</v>
      </c>
      <c r="E39" s="5">
        <v>-11.906490830388901</v>
      </c>
      <c r="F39" s="5">
        <v>3.7994837531327401</v>
      </c>
      <c r="G39" t="s">
        <v>35</v>
      </c>
      <c r="H39" t="s">
        <v>149</v>
      </c>
    </row>
    <row r="40" spans="1:8" x14ac:dyDescent="0.25">
      <c r="A40" t="s">
        <v>150</v>
      </c>
      <c r="B40" t="s">
        <v>14</v>
      </c>
      <c r="C40" t="s">
        <v>118</v>
      </c>
      <c r="D40" s="5">
        <v>21.364753768036898</v>
      </c>
      <c r="E40" s="5">
        <v>-19.633039890574899</v>
      </c>
      <c r="F40" s="5">
        <v>17.9466414547067</v>
      </c>
      <c r="G40" t="s">
        <v>35</v>
      </c>
      <c r="H40" t="s">
        <v>151</v>
      </c>
    </row>
    <row r="41" spans="1:8" x14ac:dyDescent="0.25">
      <c r="A41" t="s">
        <v>152</v>
      </c>
      <c r="B41" t="s">
        <v>14</v>
      </c>
      <c r="C41" t="s">
        <v>118</v>
      </c>
      <c r="D41" s="5">
        <v>8.8562232267748406</v>
      </c>
      <c r="E41" s="5">
        <v>-37.358453852563699</v>
      </c>
      <c r="F41" s="5">
        <v>3.2660562379099698</v>
      </c>
      <c r="G41" t="s">
        <v>35</v>
      </c>
      <c r="H41" t="s">
        <v>153</v>
      </c>
    </row>
    <row r="42" spans="1:8" x14ac:dyDescent="0.25">
      <c r="A42" t="s">
        <v>164</v>
      </c>
      <c r="B42" t="s">
        <v>59</v>
      </c>
      <c r="C42" t="s">
        <v>102</v>
      </c>
      <c r="D42" s="6">
        <v>0.61</v>
      </c>
      <c r="E42" s="6">
        <v>0.62</v>
      </c>
      <c r="F42" s="6">
        <v>0.57999999999999996</v>
      </c>
      <c r="G42" t="s">
        <v>165</v>
      </c>
      <c r="H42" t="s">
        <v>166</v>
      </c>
    </row>
    <row r="43" spans="1:8" x14ac:dyDescent="0.25">
      <c r="A43" t="s">
        <v>167</v>
      </c>
      <c r="B43" t="s">
        <v>101</v>
      </c>
      <c r="C43" t="s">
        <v>102</v>
      </c>
      <c r="D43" s="6">
        <v>19</v>
      </c>
      <c r="E43" s="6">
        <v>18</v>
      </c>
      <c r="F43" s="6">
        <v>18</v>
      </c>
      <c r="G43" t="s">
        <v>168</v>
      </c>
      <c r="H43" t="s">
        <v>59</v>
      </c>
    </row>
    <row r="44" spans="1:8" x14ac:dyDescent="0.25">
      <c r="A44" t="s">
        <v>169</v>
      </c>
      <c r="B44" t="s">
        <v>101</v>
      </c>
      <c r="C44" t="s">
        <v>102</v>
      </c>
      <c r="D44" s="6">
        <v>31</v>
      </c>
      <c r="E44" s="6">
        <v>29</v>
      </c>
      <c r="F44" s="6">
        <v>31</v>
      </c>
      <c r="G44" t="s">
        <v>168</v>
      </c>
      <c r="H44" t="s">
        <v>59</v>
      </c>
    </row>
    <row r="45" spans="1:8" x14ac:dyDescent="0.25">
      <c r="A45" t="s">
        <v>221</v>
      </c>
      <c r="B45" t="s">
        <v>14</v>
      </c>
      <c r="C45" t="s">
        <v>102</v>
      </c>
      <c r="D45" s="6">
        <v>21.05</v>
      </c>
      <c r="E45" s="6">
        <v>27.78</v>
      </c>
      <c r="F45" s="6">
        <v>16.670000000000002</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42.11</v>
      </c>
      <c r="E47" s="6">
        <v>38.89</v>
      </c>
      <c r="F47" s="6">
        <v>38.89</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2.7704485488126598</v>
      </c>
      <c r="E58" s="9">
        <v>2.5908278737343702</v>
      </c>
      <c r="F58" s="9">
        <v>3.1171786120591598</v>
      </c>
      <c r="G58" t="s">
        <v>59</v>
      </c>
      <c r="H58" t="s">
        <v>213</v>
      </c>
    </row>
    <row r="59" spans="1:8" x14ac:dyDescent="0.25">
      <c r="A59" t="s">
        <v>214</v>
      </c>
      <c r="B59" t="s">
        <v>14</v>
      </c>
      <c r="C59" t="s">
        <v>15</v>
      </c>
      <c r="D59" s="5">
        <v>3.0870712401055398</v>
      </c>
      <c r="E59" s="5">
        <v>6.2239428231089899</v>
      </c>
      <c r="F59" s="5">
        <v>5.2559726962457303</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[1]儿科!$O$4</f>
        <v>细菌性肺炎</v>
      </c>
      <c r="E72" s="10" t="str">
        <f>[1]儿科!$I$4</f>
        <v>细菌性肺炎</v>
      </c>
      <c r="F72" s="10" t="str">
        <f>[1]儿科!$C$4</f>
        <v>细菌性肺炎</v>
      </c>
      <c r="G72" t="s">
        <v>59</v>
      </c>
      <c r="H72" t="s">
        <v>59</v>
      </c>
    </row>
    <row r="73" spans="1:8" x14ac:dyDescent="0.25">
      <c r="A73" t="s">
        <v>241</v>
      </c>
      <c r="B73" t="s">
        <v>59</v>
      </c>
      <c r="C73" t="s">
        <v>90</v>
      </c>
      <c r="D73" s="10" t="str">
        <f>[1]儿科!$N$4</f>
        <v>J13-J18</v>
      </c>
      <c r="E73" s="10" t="str">
        <f>[1]儿科!$H$4</f>
        <v>J13-J18</v>
      </c>
      <c r="F73" s="10" t="str">
        <f>[1]儿科!$B$4</f>
        <v>J13-J18</v>
      </c>
      <c r="G73" t="s">
        <v>59</v>
      </c>
      <c r="H73" t="s">
        <v>59</v>
      </c>
    </row>
    <row r="74" spans="1:8" x14ac:dyDescent="0.25">
      <c r="A74" t="s">
        <v>242</v>
      </c>
      <c r="B74" t="s">
        <v>14</v>
      </c>
      <c r="C74" t="s">
        <v>90</v>
      </c>
      <c r="D74" s="10">
        <f>[1]儿科!$Q$4</f>
        <v>52.058047493403699</v>
      </c>
      <c r="E74" s="10">
        <f>[1]儿科!$K$4</f>
        <v>34.365693865396103</v>
      </c>
      <c r="F74" s="10">
        <f>[1]儿科!$E$4</f>
        <v>47.463026166097798</v>
      </c>
      <c r="G74" t="s">
        <v>59</v>
      </c>
      <c r="H74" t="s">
        <v>59</v>
      </c>
    </row>
    <row r="75" spans="1:8" x14ac:dyDescent="0.25">
      <c r="A75" t="s">
        <v>243</v>
      </c>
      <c r="B75" t="s">
        <v>59</v>
      </c>
      <c r="C75" t="s">
        <v>90</v>
      </c>
      <c r="D75" s="10" t="str">
        <f>[1]儿科!$O$5</f>
        <v>地中海贫血</v>
      </c>
      <c r="E75" s="10" t="str">
        <f>[1]儿科!$I$5</f>
        <v>地中海贫血</v>
      </c>
      <c r="F75" s="10" t="str">
        <f>[1]儿科!$C$5</f>
        <v>地中海贫血</v>
      </c>
      <c r="G75" t="s">
        <v>59</v>
      </c>
      <c r="H75" t="s">
        <v>59</v>
      </c>
    </row>
    <row r="76" spans="1:8" x14ac:dyDescent="0.25">
      <c r="A76" t="s">
        <v>244</v>
      </c>
      <c r="B76" t="s">
        <v>59</v>
      </c>
      <c r="C76" t="s">
        <v>90</v>
      </c>
      <c r="D76" s="10" t="str">
        <f>[1]儿科!$N$5</f>
        <v>D56</v>
      </c>
      <c r="E76" s="10" t="str">
        <f>[1]儿科!$H$5</f>
        <v>D56</v>
      </c>
      <c r="F76" s="10" t="str">
        <f>[1]儿科!$B$5</f>
        <v>D56</v>
      </c>
      <c r="G76" t="s">
        <v>59</v>
      </c>
      <c r="H76" t="s">
        <v>59</v>
      </c>
    </row>
    <row r="77" spans="1:8" x14ac:dyDescent="0.25">
      <c r="A77" t="s">
        <v>245</v>
      </c>
      <c r="B77" t="s">
        <v>14</v>
      </c>
      <c r="C77" t="s">
        <v>90</v>
      </c>
      <c r="D77" s="10">
        <f>[1]儿科!$Q$5</f>
        <v>5.5145118733509202</v>
      </c>
      <c r="E77" s="10">
        <f>[1]儿科!$K$5</f>
        <v>8.1000595592614708</v>
      </c>
      <c r="F77" s="10">
        <f>[1]儿科!$E$5</f>
        <v>6.4846416382252601</v>
      </c>
      <c r="G77" t="s">
        <v>59</v>
      </c>
      <c r="H77" t="s">
        <v>59</v>
      </c>
    </row>
    <row r="78" spans="1:8" x14ac:dyDescent="0.25">
      <c r="A78" t="s">
        <v>246</v>
      </c>
      <c r="B78" t="s">
        <v>59</v>
      </c>
      <c r="C78" t="s">
        <v>90</v>
      </c>
      <c r="D78" s="10" t="str">
        <f>[1]儿科!$O$6</f>
        <v>败血症</v>
      </c>
      <c r="E78" s="10" t="str">
        <f>[1]儿科!$I$6</f>
        <v>急性支气管炎</v>
      </c>
      <c r="F78" s="10" t="str">
        <f>[1]儿科!$C$6</f>
        <v>流行性感冒</v>
      </c>
      <c r="G78" t="s">
        <v>59</v>
      </c>
      <c r="H78" t="s">
        <v>59</v>
      </c>
    </row>
    <row r="79" spans="1:8" x14ac:dyDescent="0.25">
      <c r="A79" t="s">
        <v>247</v>
      </c>
      <c r="B79" t="s">
        <v>59</v>
      </c>
      <c r="C79" t="s">
        <v>90</v>
      </c>
      <c r="D79" s="10" t="str">
        <f>[1]儿科!$N$6</f>
        <v>A40-A41</v>
      </c>
      <c r="E79" s="10" t="str">
        <f>[1]儿科!$H$6</f>
        <v>J20</v>
      </c>
      <c r="F79" s="10" t="str">
        <f>[1]儿科!$B$6</f>
        <v>J10</v>
      </c>
      <c r="G79" t="s">
        <v>59</v>
      </c>
      <c r="H79" t="s">
        <v>59</v>
      </c>
    </row>
    <row r="80" spans="1:8" x14ac:dyDescent="0.25">
      <c r="A80" t="s">
        <v>248</v>
      </c>
      <c r="B80" t="s">
        <v>14</v>
      </c>
      <c r="C80" t="s">
        <v>90</v>
      </c>
      <c r="D80" s="10">
        <f>[1]儿科!$Q$6</f>
        <v>4.4063324538258604</v>
      </c>
      <c r="E80" s="10">
        <f>[1]儿科!$K$6</f>
        <v>3.8415723645026798</v>
      </c>
      <c r="F80" s="10">
        <f>[1]儿科!$E$6</f>
        <v>4.9374288964732704</v>
      </c>
      <c r="G80" t="s">
        <v>59</v>
      </c>
      <c r="H80" t="s">
        <v>59</v>
      </c>
    </row>
    <row r="81" spans="1:8" x14ac:dyDescent="0.25">
      <c r="A81" t="s">
        <v>249</v>
      </c>
      <c r="B81" t="s">
        <v>59</v>
      </c>
      <c r="C81" t="s">
        <v>90</v>
      </c>
      <c r="D81" s="10" t="str">
        <f>[1]儿科!$O$7</f>
        <v>癫癎</v>
      </c>
      <c r="E81" s="10" t="str">
        <f>[1]儿科!$I$7</f>
        <v>血小板减少性紫癜</v>
      </c>
      <c r="F81" s="10" t="str">
        <f>[1]儿科!$C$7</f>
        <v>手足口病</v>
      </c>
      <c r="G81" t="s">
        <v>59</v>
      </c>
      <c r="H81" t="s">
        <v>59</v>
      </c>
    </row>
    <row r="82" spans="1:8" x14ac:dyDescent="0.25">
      <c r="A82" t="s">
        <v>250</v>
      </c>
      <c r="B82" t="s">
        <v>59</v>
      </c>
      <c r="C82" t="s">
        <v>90</v>
      </c>
      <c r="D82" s="10" t="str">
        <f>[1]儿科!$N$7</f>
        <v>G40</v>
      </c>
      <c r="E82" s="10" t="str">
        <f>[1]儿科!$H$7</f>
        <v>D69</v>
      </c>
      <c r="F82" s="10" t="str">
        <f>[1]儿科!$B$7</f>
        <v>B08.4</v>
      </c>
      <c r="G82" t="s">
        <v>59</v>
      </c>
      <c r="H82" t="s">
        <v>59</v>
      </c>
    </row>
    <row r="83" spans="1:8" x14ac:dyDescent="0.25">
      <c r="A83" t="s">
        <v>251</v>
      </c>
      <c r="B83" t="s">
        <v>14</v>
      </c>
      <c r="C83" t="s">
        <v>90</v>
      </c>
      <c r="D83" s="10">
        <f>[1]儿科!$Q$7</f>
        <v>3.0870712401055398</v>
      </c>
      <c r="E83" s="10">
        <f>[1]儿科!$K$7</f>
        <v>3.5735556879094701</v>
      </c>
      <c r="F83" s="10">
        <f>[1]儿科!$E$7</f>
        <v>2.9806598407281002</v>
      </c>
      <c r="G83" t="s">
        <v>59</v>
      </c>
      <c r="H83" t="s">
        <v>59</v>
      </c>
    </row>
    <row r="84" spans="1:8" x14ac:dyDescent="0.25">
      <c r="A84" t="s">
        <v>252</v>
      </c>
      <c r="B84" t="s">
        <v>59</v>
      </c>
      <c r="C84" t="s">
        <v>90</v>
      </c>
      <c r="D84" s="10" t="str">
        <f>[1]儿科!$O$8</f>
        <v>血小板减少性紫癜</v>
      </c>
      <c r="E84" s="10" t="str">
        <f>[1]儿科!$I$8</f>
        <v>癫癎</v>
      </c>
      <c r="F84" s="10" t="str">
        <f>[1]儿科!$C$8</f>
        <v>血小板减少性紫癜</v>
      </c>
      <c r="G84" t="s">
        <v>59</v>
      </c>
      <c r="H84" t="s">
        <v>59</v>
      </c>
    </row>
    <row r="85" spans="1:8" x14ac:dyDescent="0.25">
      <c r="A85" t="s">
        <v>253</v>
      </c>
      <c r="B85" t="s">
        <v>59</v>
      </c>
      <c r="C85" t="s">
        <v>90</v>
      </c>
      <c r="D85" s="10" t="str">
        <f>[1]儿科!$N$8</f>
        <v>D69</v>
      </c>
      <c r="E85" s="10" t="str">
        <f>[1]儿科!$H$8</f>
        <v>G40</v>
      </c>
      <c r="F85" s="10" t="str">
        <f>[1]儿科!$B$8</f>
        <v>D69</v>
      </c>
      <c r="G85" t="s">
        <v>59</v>
      </c>
      <c r="H85" t="s">
        <v>59</v>
      </c>
    </row>
    <row r="86" spans="1:8" x14ac:dyDescent="0.25">
      <c r="A86" t="s">
        <v>254</v>
      </c>
      <c r="B86" t="s">
        <v>14</v>
      </c>
      <c r="C86" t="s">
        <v>90</v>
      </c>
      <c r="D86" s="10">
        <f>[1]儿科!$Q$8</f>
        <v>3.0079155672823199</v>
      </c>
      <c r="E86" s="10">
        <f>[1]儿科!$K$8</f>
        <v>2.9779630732578899</v>
      </c>
      <c r="F86" s="10">
        <f>[1]儿科!$E$8</f>
        <v>3.1854379977246898</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1:H31 G2:H5 G6:H14 G15:H15 G16:H17 G18:H20 G34:H57 G58:H59 G60:H71 G72:H86 D87:H101 A34:B101 A1:H1" numberStoredAsText="1"/>
  </ignoredError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101"/>
  <sheetViews>
    <sheetView topLeftCell="A21" workbookViewId="0">
      <selection activeCell="D33" sqref="D33:F33"/>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0.27932960893854702</v>
      </c>
      <c r="E2" s="5">
        <v>0.35618878005342802</v>
      </c>
      <c r="F2" s="5">
        <v>0.12690355329949199</v>
      </c>
      <c r="G2" t="s">
        <v>16</v>
      </c>
      <c r="H2" t="s">
        <v>17</v>
      </c>
    </row>
    <row r="3" spans="1:8" x14ac:dyDescent="0.25">
      <c r="A3" t="s">
        <v>18</v>
      </c>
      <c r="B3" t="s">
        <v>14</v>
      </c>
      <c r="C3" t="s">
        <v>15</v>
      </c>
      <c r="D3" s="6">
        <v>0</v>
      </c>
      <c r="E3" s="6">
        <v>0</v>
      </c>
      <c r="F3" s="6">
        <v>0</v>
      </c>
      <c r="G3" t="s">
        <v>19</v>
      </c>
      <c r="H3" t="s">
        <v>20</v>
      </c>
    </row>
    <row r="4" spans="1:8" x14ac:dyDescent="0.25">
      <c r="A4" t="s">
        <v>21</v>
      </c>
      <c r="B4" t="s">
        <v>14</v>
      </c>
      <c r="C4" t="s">
        <v>15</v>
      </c>
      <c r="D4" s="6">
        <v>0</v>
      </c>
      <c r="E4" s="6">
        <v>25</v>
      </c>
      <c r="F4" s="6">
        <v>0</v>
      </c>
      <c r="G4" t="s">
        <v>22</v>
      </c>
      <c r="H4" t="s">
        <v>23</v>
      </c>
    </row>
    <row r="5" spans="1:8" x14ac:dyDescent="0.25">
      <c r="A5" t="s">
        <v>24</v>
      </c>
      <c r="B5" t="s">
        <v>14</v>
      </c>
      <c r="C5" t="s">
        <v>15</v>
      </c>
      <c r="D5" s="6">
        <v>100</v>
      </c>
      <c r="E5" s="6">
        <v>100</v>
      </c>
      <c r="F5" s="6">
        <v>100</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0.09</v>
      </c>
      <c r="E10" s="6">
        <v>0.36</v>
      </c>
      <c r="F10" s="6">
        <v>0.44</v>
      </c>
      <c r="G10" t="s">
        <v>58</v>
      </c>
      <c r="H10" t="s">
        <v>59</v>
      </c>
    </row>
    <row r="11" spans="1:8" x14ac:dyDescent="0.25">
      <c r="A11" t="s">
        <v>63</v>
      </c>
      <c r="B11" t="s">
        <v>64</v>
      </c>
      <c r="C11" t="s">
        <v>61</v>
      </c>
      <c r="D11" s="5">
        <v>2.6403032756249001</v>
      </c>
      <c r="E11" s="5">
        <v>14.529698805749399</v>
      </c>
      <c r="F11" s="5">
        <v>2.6612532565390898</v>
      </c>
      <c r="G11" t="s">
        <v>35</v>
      </c>
      <c r="H11" t="s">
        <v>65</v>
      </c>
    </row>
    <row r="12" spans="1:8" x14ac:dyDescent="0.25">
      <c r="A12" t="s">
        <v>66</v>
      </c>
      <c r="B12" t="s">
        <v>14</v>
      </c>
      <c r="C12" t="s">
        <v>61</v>
      </c>
      <c r="D12" s="6">
        <v>0</v>
      </c>
      <c r="E12" s="6">
        <v>0</v>
      </c>
      <c r="F12" s="6">
        <v>0</v>
      </c>
      <c r="G12" t="s">
        <v>39</v>
      </c>
      <c r="H12" t="s">
        <v>67</v>
      </c>
    </row>
    <row r="13" spans="1:8" x14ac:dyDescent="0.25">
      <c r="A13" t="s">
        <v>68</v>
      </c>
      <c r="B13" t="s">
        <v>14</v>
      </c>
      <c r="C13" t="s">
        <v>61</v>
      </c>
      <c r="D13" s="6">
        <v>99.81</v>
      </c>
      <c r="E13" s="6">
        <v>100</v>
      </c>
      <c r="F13" s="6">
        <v>97.74</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7.75</v>
      </c>
      <c r="E15" s="6">
        <v>8.84</v>
      </c>
      <c r="F15" s="6">
        <v>8.82</v>
      </c>
      <c r="G15" t="s">
        <v>93</v>
      </c>
      <c r="H15" t="s">
        <v>94</v>
      </c>
    </row>
    <row r="16" spans="1:8" x14ac:dyDescent="0.25">
      <c r="A16" t="s">
        <v>95</v>
      </c>
      <c r="B16" t="s">
        <v>59</v>
      </c>
      <c r="C16" t="s">
        <v>34</v>
      </c>
      <c r="D16" s="6">
        <v>1.98</v>
      </c>
      <c r="E16" s="6">
        <v>2.11</v>
      </c>
      <c r="F16" s="6">
        <v>1.69</v>
      </c>
      <c r="G16" t="s">
        <v>96</v>
      </c>
      <c r="H16" t="s">
        <v>59</v>
      </c>
    </row>
    <row r="17" spans="1:8" x14ac:dyDescent="0.25">
      <c r="A17" t="s">
        <v>97</v>
      </c>
      <c r="B17" t="s">
        <v>98</v>
      </c>
      <c r="C17" t="s">
        <v>34</v>
      </c>
      <c r="D17" s="6">
        <v>26</v>
      </c>
      <c r="E17" s="6">
        <v>30</v>
      </c>
      <c r="F17" s="6">
        <v>30</v>
      </c>
      <c r="G17" t="s">
        <v>99</v>
      </c>
      <c r="H17" t="s">
        <v>59</v>
      </c>
    </row>
    <row r="18" spans="1:8" x14ac:dyDescent="0.25">
      <c r="A18" t="s">
        <v>104</v>
      </c>
      <c r="B18" t="s">
        <v>105</v>
      </c>
      <c r="C18" t="s">
        <v>15</v>
      </c>
      <c r="D18" s="6">
        <v>28</v>
      </c>
      <c r="E18" s="6">
        <v>28</v>
      </c>
      <c r="F18" s="6">
        <v>28</v>
      </c>
      <c r="G18" t="s">
        <v>58</v>
      </c>
      <c r="H18" t="s">
        <v>59</v>
      </c>
    </row>
    <row r="19" spans="1:8" x14ac:dyDescent="0.25">
      <c r="A19" t="s">
        <v>106</v>
      </c>
      <c r="B19" t="s">
        <v>105</v>
      </c>
      <c r="C19" t="s">
        <v>15</v>
      </c>
      <c r="D19" s="6">
        <v>38</v>
      </c>
      <c r="E19" s="6">
        <v>28</v>
      </c>
      <c r="F19" s="6">
        <v>45</v>
      </c>
      <c r="G19" t="s">
        <v>58</v>
      </c>
      <c r="H19" t="s">
        <v>59</v>
      </c>
    </row>
    <row r="20" spans="1:8" x14ac:dyDescent="0.25">
      <c r="A20" t="s">
        <v>107</v>
      </c>
      <c r="B20" t="s">
        <v>14</v>
      </c>
      <c r="C20" t="s">
        <v>15</v>
      </c>
      <c r="D20" s="6">
        <v>66.040000000000006</v>
      </c>
      <c r="E20" s="6">
        <v>71.75</v>
      </c>
      <c r="F20" s="6">
        <v>84.3</v>
      </c>
      <c r="G20" t="s">
        <v>58</v>
      </c>
      <c r="H20" t="s">
        <v>108</v>
      </c>
    </row>
    <row r="21" spans="1:8" x14ac:dyDescent="0.25">
      <c r="A21" t="s">
        <v>112</v>
      </c>
      <c r="B21" t="s">
        <v>59</v>
      </c>
      <c r="C21" t="s">
        <v>102</v>
      </c>
      <c r="D21" s="5">
        <f t="shared" ref="D21:F21" si="0">D43/D19</f>
        <v>0.26315789473684209</v>
      </c>
      <c r="E21" s="5">
        <f t="shared" si="0"/>
        <v>0.39285714285714285</v>
      </c>
      <c r="F21" s="5">
        <f t="shared" si="0"/>
        <v>0.24444444444444444</v>
      </c>
      <c r="G21" t="s">
        <v>110</v>
      </c>
      <c r="H21" t="s">
        <v>113</v>
      </c>
    </row>
    <row r="22" spans="1:8" x14ac:dyDescent="0.25">
      <c r="A22" t="s">
        <v>114</v>
      </c>
      <c r="B22" t="s">
        <v>59</v>
      </c>
      <c r="C22" t="s">
        <v>102</v>
      </c>
      <c r="D22" s="5">
        <f t="shared" ref="D22:F22" si="1">D44/D19</f>
        <v>1.0526315789473684</v>
      </c>
      <c r="E22" s="5">
        <f t="shared" si="1"/>
        <v>1.4642857142857142</v>
      </c>
      <c r="F22" s="5">
        <f t="shared" si="1"/>
        <v>0.93333333333333335</v>
      </c>
      <c r="G22" t="s">
        <v>110</v>
      </c>
      <c r="H22" t="s">
        <v>115</v>
      </c>
    </row>
    <row r="23" spans="1:8" x14ac:dyDescent="0.25">
      <c r="A23" t="s">
        <v>116</v>
      </c>
      <c r="B23" t="s">
        <v>117</v>
      </c>
      <c r="C23" t="s">
        <v>118</v>
      </c>
      <c r="D23" s="5">
        <v>20.717709214285701</v>
      </c>
      <c r="E23" s="5">
        <v>22.066474866666699</v>
      </c>
      <c r="F23" s="5">
        <v>29.151359155172401</v>
      </c>
      <c r="G23" t="s">
        <v>119</v>
      </c>
      <c r="H23" t="s">
        <v>59</v>
      </c>
    </row>
    <row r="24" spans="1:8" x14ac:dyDescent="0.25">
      <c r="A24" t="s">
        <v>120</v>
      </c>
      <c r="B24" t="s">
        <v>117</v>
      </c>
      <c r="C24" t="s">
        <v>118</v>
      </c>
      <c r="D24" s="5">
        <v>26.465292857142899</v>
      </c>
      <c r="E24" s="5">
        <v>26.826937983333298</v>
      </c>
      <c r="F24" s="5">
        <v>33.530368206896597</v>
      </c>
      <c r="G24" t="s">
        <v>121</v>
      </c>
      <c r="H24" t="s">
        <v>59</v>
      </c>
    </row>
    <row r="25" spans="1:8" x14ac:dyDescent="0.25">
      <c r="A25" t="s">
        <v>122</v>
      </c>
      <c r="B25" t="s">
        <v>117</v>
      </c>
      <c r="C25" t="s">
        <v>118</v>
      </c>
      <c r="D25" s="5">
        <v>33.425287121866901</v>
      </c>
      <c r="E25" s="5">
        <v>34.942953074689903</v>
      </c>
      <c r="F25" s="5">
        <v>37.572862911111102</v>
      </c>
      <c r="G25" t="s">
        <v>123</v>
      </c>
      <c r="H25" t="s">
        <v>59</v>
      </c>
    </row>
    <row r="26" spans="1:8" x14ac:dyDescent="0.25">
      <c r="A26" t="s">
        <v>124</v>
      </c>
      <c r="B26" t="s">
        <v>117</v>
      </c>
      <c r="C26" t="s">
        <v>118</v>
      </c>
      <c r="D26" s="5">
        <v>42.698254105445102</v>
      </c>
      <c r="E26" s="5">
        <v>42.481295302190603</v>
      </c>
      <c r="F26" s="5">
        <v>43.2169190222222</v>
      </c>
      <c r="G26" t="s">
        <v>125</v>
      </c>
      <c r="H26" t="s">
        <v>59</v>
      </c>
    </row>
    <row r="27" spans="1:8" x14ac:dyDescent="0.25">
      <c r="A27" t="s">
        <v>126</v>
      </c>
      <c r="B27" t="s">
        <v>127</v>
      </c>
      <c r="C27" t="s">
        <v>118</v>
      </c>
      <c r="D27" s="5">
        <v>2.2923287671232901</v>
      </c>
      <c r="E27" s="5">
        <v>2.4784557907845599</v>
      </c>
      <c r="F27" s="5">
        <v>3.44881693648817</v>
      </c>
      <c r="G27" t="s">
        <v>39</v>
      </c>
      <c r="H27" t="s">
        <v>128</v>
      </c>
    </row>
    <row r="28" spans="1:8" x14ac:dyDescent="0.25">
      <c r="A28" t="s">
        <v>129</v>
      </c>
      <c r="B28" t="s">
        <v>14</v>
      </c>
      <c r="C28" t="s">
        <v>118</v>
      </c>
      <c r="D28" s="5">
        <v>64.316889022573704</v>
      </c>
      <c r="E28" s="5">
        <v>69.067235131399201</v>
      </c>
      <c r="F28" s="5">
        <v>69.7701096694217</v>
      </c>
      <c r="G28" t="s">
        <v>130</v>
      </c>
      <c r="H28" t="s">
        <v>131</v>
      </c>
    </row>
    <row r="29" spans="1:8" x14ac:dyDescent="0.25">
      <c r="A29" t="s">
        <v>132</v>
      </c>
      <c r="B29" t="s">
        <v>117</v>
      </c>
      <c r="C29" t="s">
        <v>118</v>
      </c>
      <c r="D29" s="5">
        <v>1803.8679010000001</v>
      </c>
      <c r="E29" s="5">
        <v>1916.9559770000001</v>
      </c>
      <c r="F29" s="5">
        <v>2423.356992</v>
      </c>
      <c r="G29" t="s">
        <v>59</v>
      </c>
      <c r="H29" t="s">
        <v>133</v>
      </c>
    </row>
    <row r="30" spans="1:8" x14ac:dyDescent="0.25">
      <c r="A30" t="s">
        <v>134</v>
      </c>
      <c r="B30" t="s">
        <v>117</v>
      </c>
      <c r="C30" t="s">
        <v>118</v>
      </c>
      <c r="D30" s="5">
        <v>1160.191716</v>
      </c>
      <c r="E30" s="5">
        <v>1323.988492</v>
      </c>
      <c r="F30" s="5">
        <v>1690.7788310000001</v>
      </c>
      <c r="G30" t="s">
        <v>59</v>
      </c>
      <c r="H30" t="s">
        <v>59</v>
      </c>
    </row>
    <row r="31" spans="1:8" x14ac:dyDescent="0.25">
      <c r="A31" t="s">
        <v>135</v>
      </c>
      <c r="B31" t="s">
        <v>117</v>
      </c>
      <c r="C31" t="s">
        <v>118</v>
      </c>
      <c r="D31" s="5">
        <v>1482.0563999999999</v>
      </c>
      <c r="E31" s="5">
        <v>1609.6162790000001</v>
      </c>
      <c r="F31" s="5">
        <v>1944.761356</v>
      </c>
      <c r="G31" t="s">
        <v>59</v>
      </c>
      <c r="H31" t="s">
        <v>136</v>
      </c>
    </row>
    <row r="32" spans="1:8" x14ac:dyDescent="0.25">
      <c r="A32" t="s">
        <v>216</v>
      </c>
      <c r="B32" t="s">
        <v>117</v>
      </c>
      <c r="D32" s="7">
        <v>1876.2</v>
      </c>
      <c r="E32" s="7">
        <v>1651.73</v>
      </c>
      <c r="F32" s="7">
        <v>1759.49</v>
      </c>
    </row>
    <row r="33" spans="1:8" x14ac:dyDescent="0.25">
      <c r="A33" t="s">
        <v>143</v>
      </c>
      <c r="B33" t="s">
        <v>14</v>
      </c>
      <c r="D33" s="8">
        <v>-12.43</v>
      </c>
      <c r="E33" s="8">
        <v>-32.11</v>
      </c>
      <c r="F33" s="8">
        <v>-48.2</v>
      </c>
    </row>
    <row r="34" spans="1:8" x14ac:dyDescent="0.25">
      <c r="A34" t="s">
        <v>137</v>
      </c>
      <c r="B34" t="s">
        <v>138</v>
      </c>
      <c r="C34" t="s">
        <v>139</v>
      </c>
      <c r="D34" s="6"/>
      <c r="E34" s="6"/>
      <c r="F34" s="6"/>
      <c r="G34" t="s">
        <v>35</v>
      </c>
      <c r="H34" t="s">
        <v>140</v>
      </c>
    </row>
    <row r="35" spans="1:8" x14ac:dyDescent="0.25">
      <c r="A35" t="s">
        <v>217</v>
      </c>
      <c r="B35" t="s">
        <v>14</v>
      </c>
      <c r="C35" t="s">
        <v>118</v>
      </c>
      <c r="D35" s="5">
        <v>12.7476251932042</v>
      </c>
      <c r="E35" s="5">
        <v>3.6859852207237198</v>
      </c>
      <c r="F35" s="5">
        <v>3.6552312058198</v>
      </c>
      <c r="G35" t="s">
        <v>22</v>
      </c>
      <c r="H35" t="s">
        <v>218</v>
      </c>
    </row>
    <row r="36" spans="1:8" x14ac:dyDescent="0.25">
      <c r="A36" t="s">
        <v>219</v>
      </c>
      <c r="B36" t="s">
        <v>14</v>
      </c>
      <c r="C36" t="s">
        <v>118</v>
      </c>
      <c r="D36" s="5">
        <v>87.2523748067958</v>
      </c>
      <c r="E36" s="5">
        <v>96.314014779276306</v>
      </c>
      <c r="F36" s="5">
        <v>96.344768794180197</v>
      </c>
      <c r="G36" t="s">
        <v>22</v>
      </c>
      <c r="H36" t="s">
        <v>220</v>
      </c>
    </row>
    <row r="37" spans="1:8" x14ac:dyDescent="0.25">
      <c r="A37" t="s">
        <v>144</v>
      </c>
      <c r="B37" t="s">
        <v>14</v>
      </c>
      <c r="C37" t="s">
        <v>118</v>
      </c>
      <c r="D37" s="5">
        <v>-5.89935696786217</v>
      </c>
      <c r="E37" s="5">
        <v>-20.896674186747301</v>
      </c>
      <c r="F37" s="5">
        <v>12.790153053317701</v>
      </c>
      <c r="G37" t="s">
        <v>35</v>
      </c>
      <c r="H37" t="s">
        <v>145</v>
      </c>
    </row>
    <row r="38" spans="1:8" x14ac:dyDescent="0.25">
      <c r="A38" t="s">
        <v>146</v>
      </c>
      <c r="B38" t="s">
        <v>14</v>
      </c>
      <c r="C38" t="s">
        <v>118</v>
      </c>
      <c r="D38" s="5">
        <v>59.000262661665197</v>
      </c>
      <c r="E38" s="5">
        <v>1.1641579864087499</v>
      </c>
      <c r="F38" s="5">
        <v>2.4534898085968999</v>
      </c>
      <c r="G38" t="s">
        <v>35</v>
      </c>
      <c r="H38" t="s">
        <v>147</v>
      </c>
    </row>
    <row r="39" spans="1:8" x14ac:dyDescent="0.25">
      <c r="A39" t="s">
        <v>148</v>
      </c>
      <c r="B39" t="s">
        <v>14</v>
      </c>
      <c r="C39" t="s">
        <v>118</v>
      </c>
      <c r="D39" s="5">
        <v>-11.1153522377457</v>
      </c>
      <c r="E39" s="5">
        <v>10.2881207876499</v>
      </c>
      <c r="F39" s="5">
        <v>15.0579466604018</v>
      </c>
      <c r="G39" t="s">
        <v>35</v>
      </c>
      <c r="H39" t="s">
        <v>149</v>
      </c>
    </row>
    <row r="40" spans="1:8" x14ac:dyDescent="0.25">
      <c r="A40" t="s">
        <v>150</v>
      </c>
      <c r="B40" t="s">
        <v>14</v>
      </c>
      <c r="C40" t="s">
        <v>118</v>
      </c>
      <c r="D40" s="5">
        <v>127.14380345812199</v>
      </c>
      <c r="E40" s="5">
        <v>-26.430951621197899</v>
      </c>
      <c r="F40" s="5">
        <v>-13.8310539968972</v>
      </c>
      <c r="G40" t="s">
        <v>35</v>
      </c>
      <c r="H40" t="s">
        <v>151</v>
      </c>
    </row>
    <row r="41" spans="1:8" x14ac:dyDescent="0.25">
      <c r="A41" t="s">
        <v>152</v>
      </c>
      <c r="B41" t="s">
        <v>14</v>
      </c>
      <c r="C41" t="s">
        <v>118</v>
      </c>
      <c r="D41" s="5">
        <v>-19.388278079647801</v>
      </c>
      <c r="E41" s="5">
        <v>-16.3784922914768</v>
      </c>
      <c r="F41" s="5">
        <v>21.085340163093999</v>
      </c>
      <c r="G41" t="s">
        <v>35</v>
      </c>
      <c r="H41" t="s">
        <v>153</v>
      </c>
    </row>
    <row r="42" spans="1:8" x14ac:dyDescent="0.25">
      <c r="A42" t="s">
        <v>164</v>
      </c>
      <c r="B42" t="s">
        <v>59</v>
      </c>
      <c r="C42" t="s">
        <v>102</v>
      </c>
      <c r="D42" s="6">
        <v>0.25</v>
      </c>
      <c r="E42" s="6">
        <v>0.27</v>
      </c>
      <c r="F42" s="6">
        <v>0.26</v>
      </c>
      <c r="G42" t="s">
        <v>165</v>
      </c>
      <c r="H42" t="s">
        <v>166</v>
      </c>
    </row>
    <row r="43" spans="1:8" x14ac:dyDescent="0.25">
      <c r="A43" t="s">
        <v>167</v>
      </c>
      <c r="B43" t="s">
        <v>101</v>
      </c>
      <c r="C43" t="s">
        <v>102</v>
      </c>
      <c r="D43" s="6">
        <v>10</v>
      </c>
      <c r="E43" s="6">
        <v>11</v>
      </c>
      <c r="F43" s="6">
        <v>11</v>
      </c>
      <c r="G43" t="s">
        <v>168</v>
      </c>
      <c r="H43" t="s">
        <v>59</v>
      </c>
    </row>
    <row r="44" spans="1:8" x14ac:dyDescent="0.25">
      <c r="A44" t="s">
        <v>169</v>
      </c>
      <c r="B44" t="s">
        <v>101</v>
      </c>
      <c r="C44" t="s">
        <v>102</v>
      </c>
      <c r="D44" s="6">
        <v>40</v>
      </c>
      <c r="E44" s="6">
        <v>41</v>
      </c>
      <c r="F44" s="6">
        <v>42</v>
      </c>
      <c r="G44" t="s">
        <v>168</v>
      </c>
      <c r="H44" t="s">
        <v>59</v>
      </c>
    </row>
    <row r="45" spans="1:8" x14ac:dyDescent="0.25">
      <c r="A45" t="s">
        <v>221</v>
      </c>
      <c r="B45" t="s">
        <v>14</v>
      </c>
      <c r="C45" t="s">
        <v>102</v>
      </c>
      <c r="D45" s="6">
        <v>40</v>
      </c>
      <c r="E45" s="6">
        <v>36.36</v>
      </c>
      <c r="F45" s="6">
        <v>36.36</v>
      </c>
      <c r="G45" t="s">
        <v>59</v>
      </c>
      <c r="H45" t="s">
        <v>222</v>
      </c>
    </row>
    <row r="46" spans="1:8" x14ac:dyDescent="0.25">
      <c r="A46" t="s">
        <v>223</v>
      </c>
      <c r="B46" t="s">
        <v>14</v>
      </c>
      <c r="C46" t="s">
        <v>102</v>
      </c>
      <c r="D46" s="6">
        <v>10</v>
      </c>
      <c r="E46" s="6">
        <v>9.09</v>
      </c>
      <c r="F46" s="6">
        <v>9.09</v>
      </c>
      <c r="G46" t="s">
        <v>59</v>
      </c>
      <c r="H46" t="s">
        <v>224</v>
      </c>
    </row>
    <row r="47" spans="1:8" x14ac:dyDescent="0.25">
      <c r="A47" t="s">
        <v>225</v>
      </c>
      <c r="B47" t="s">
        <v>14</v>
      </c>
      <c r="C47" t="s">
        <v>102</v>
      </c>
      <c r="D47" s="6">
        <v>20</v>
      </c>
      <c r="E47" s="6">
        <v>27.27</v>
      </c>
      <c r="F47" s="6">
        <v>27.27</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1.9E-2</v>
      </c>
      <c r="F49" s="6">
        <v>0</v>
      </c>
      <c r="G49" t="s">
        <v>191</v>
      </c>
      <c r="H49" t="s">
        <v>192</v>
      </c>
    </row>
    <row r="50" spans="1:8" x14ac:dyDescent="0.25">
      <c r="A50" t="s">
        <v>193</v>
      </c>
      <c r="B50" t="s">
        <v>59</v>
      </c>
      <c r="C50" t="s">
        <v>176</v>
      </c>
      <c r="D50" s="6">
        <v>0.02</v>
      </c>
      <c r="E50" s="11">
        <v>1.9231000000000002E-2</v>
      </c>
      <c r="F50" s="11">
        <v>1.88679E-2</v>
      </c>
      <c r="G50" t="s">
        <v>191</v>
      </c>
      <c r="H50" t="s">
        <v>194</v>
      </c>
    </row>
    <row r="51" spans="1:8" x14ac:dyDescent="0.25">
      <c r="A51" t="s">
        <v>195</v>
      </c>
      <c r="B51" t="s">
        <v>196</v>
      </c>
      <c r="C51" t="s">
        <v>176</v>
      </c>
      <c r="D51" s="6">
        <v>40000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v>
      </c>
      <c r="E54" s="6">
        <v>0</v>
      </c>
      <c r="F54" s="6">
        <v>0</v>
      </c>
      <c r="G54" t="s">
        <v>205</v>
      </c>
      <c r="H54" t="s">
        <v>59</v>
      </c>
    </row>
    <row r="55" spans="1:8" x14ac:dyDescent="0.25">
      <c r="A55" t="s">
        <v>206</v>
      </c>
      <c r="B55" t="s">
        <v>207</v>
      </c>
      <c r="C55" t="s">
        <v>176</v>
      </c>
      <c r="D55" s="6">
        <v>0</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10</v>
      </c>
      <c r="E57" s="6">
        <v>9.09</v>
      </c>
      <c r="F57" s="6">
        <v>0</v>
      </c>
      <c r="G57" t="s">
        <v>59</v>
      </c>
      <c r="H57" t="s">
        <v>211</v>
      </c>
    </row>
    <row r="58" spans="1:8" x14ac:dyDescent="0.25">
      <c r="A58" t="s">
        <v>212</v>
      </c>
      <c r="B58" t="s">
        <v>14</v>
      </c>
      <c r="C58" t="s">
        <v>15</v>
      </c>
      <c r="D58" s="9">
        <v>18.0633147113594</v>
      </c>
      <c r="E58" s="9">
        <v>17.186108637577899</v>
      </c>
      <c r="F58" s="9">
        <v>15.8629441624365</v>
      </c>
      <c r="G58" t="s">
        <v>59</v>
      </c>
      <c r="H58" t="s">
        <v>213</v>
      </c>
    </row>
    <row r="59" spans="1:8" x14ac:dyDescent="0.25">
      <c r="A59" t="s">
        <v>214</v>
      </c>
      <c r="B59" t="s">
        <v>14</v>
      </c>
      <c r="C59" t="s">
        <v>15</v>
      </c>
      <c r="D59" s="11">
        <v>0.27932960893854702</v>
      </c>
      <c r="E59" s="11">
        <v>0.62333036509350004</v>
      </c>
      <c r="F59" s="11">
        <v>0.63451776649746205</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1</v>
      </c>
      <c r="E64" s="6">
        <v>1</v>
      </c>
      <c r="F64" s="6">
        <v>1</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1</v>
      </c>
      <c r="E67" s="6">
        <v>1</v>
      </c>
      <c r="F67" s="6">
        <v>1</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[1]新生儿科!$O$4</f>
        <v>新生儿黄疸</v>
      </c>
      <c r="E72" s="10" t="str">
        <f>[1]新生儿科!$I$4</f>
        <v>新生儿黄疸</v>
      </c>
      <c r="F72" s="10" t="str">
        <f>[1]新生儿科!$C$4</f>
        <v>新生儿黄疸</v>
      </c>
      <c r="G72" t="s">
        <v>59</v>
      </c>
      <c r="H72" t="s">
        <v>59</v>
      </c>
    </row>
    <row r="73" spans="1:8" x14ac:dyDescent="0.25">
      <c r="A73" t="s">
        <v>241</v>
      </c>
      <c r="B73" t="s">
        <v>59</v>
      </c>
      <c r="C73" t="s">
        <v>90</v>
      </c>
      <c r="D73" s="10" t="str">
        <f>[1]新生儿科!$N$4</f>
        <v>P59</v>
      </c>
      <c r="E73" s="10" t="str">
        <f>[1]新生儿科!$H$4</f>
        <v>P59</v>
      </c>
      <c r="F73" s="10" t="str">
        <f>[1]新生儿科!$B$4</f>
        <v>P59</v>
      </c>
      <c r="G73" t="s">
        <v>59</v>
      </c>
      <c r="H73" t="s">
        <v>59</v>
      </c>
    </row>
    <row r="74" spans="1:8" x14ac:dyDescent="0.25">
      <c r="A74" t="s">
        <v>242</v>
      </c>
      <c r="B74" t="s">
        <v>14</v>
      </c>
      <c r="C74" t="s">
        <v>90</v>
      </c>
      <c r="D74" s="10">
        <f>[1]新生儿科!$Q$4</f>
        <v>32.7746741154562</v>
      </c>
      <c r="E74" s="10">
        <f>[1]新生儿科!$K$4</f>
        <v>29.919857524487998</v>
      </c>
      <c r="F74" s="10">
        <f>[1]新生儿科!$E$4</f>
        <v>31.979695431472098</v>
      </c>
      <c r="G74" t="s">
        <v>59</v>
      </c>
      <c r="H74" t="s">
        <v>59</v>
      </c>
    </row>
    <row r="75" spans="1:8" x14ac:dyDescent="0.25">
      <c r="A75" t="s">
        <v>243</v>
      </c>
      <c r="B75" t="s">
        <v>59</v>
      </c>
      <c r="C75" t="s">
        <v>90</v>
      </c>
      <c r="D75" s="10" t="str">
        <f>[1]新生儿科!$O$5</f>
        <v>新生儿呼吸窘迫</v>
      </c>
      <c r="E75" s="10" t="str">
        <f>[1]新生儿科!$I$5</f>
        <v>新生儿呼吸窘迫</v>
      </c>
      <c r="F75" s="10" t="str">
        <f>[1]新生儿科!$C$5</f>
        <v>新生儿呼吸窘迫</v>
      </c>
      <c r="G75" t="s">
        <v>59</v>
      </c>
      <c r="H75" t="s">
        <v>59</v>
      </c>
    </row>
    <row r="76" spans="1:8" x14ac:dyDescent="0.25">
      <c r="A76" t="s">
        <v>244</v>
      </c>
      <c r="B76" t="s">
        <v>59</v>
      </c>
      <c r="C76" t="s">
        <v>90</v>
      </c>
      <c r="D76" s="10" t="str">
        <f>[1]新生儿科!$N$5</f>
        <v>P22</v>
      </c>
      <c r="E76" s="10" t="str">
        <f>[1]新生儿科!$H$5</f>
        <v>P22</v>
      </c>
      <c r="F76" s="10" t="str">
        <f>[1]新生儿科!$B$5</f>
        <v>P22</v>
      </c>
      <c r="G76" t="s">
        <v>59</v>
      </c>
      <c r="H76" t="s">
        <v>59</v>
      </c>
    </row>
    <row r="77" spans="1:8" x14ac:dyDescent="0.25">
      <c r="A77" t="s">
        <v>245</v>
      </c>
      <c r="B77" t="s">
        <v>14</v>
      </c>
      <c r="C77" t="s">
        <v>90</v>
      </c>
      <c r="D77" s="10">
        <f>[1]新生儿科!$Q$5</f>
        <v>21.415270018622</v>
      </c>
      <c r="E77" s="10">
        <f>[1]新生儿科!$K$5</f>
        <v>23.775601068566299</v>
      </c>
      <c r="F77" s="10">
        <f>[1]新生儿科!$E$5</f>
        <v>24.555837563451799</v>
      </c>
      <c r="G77" t="s">
        <v>59</v>
      </c>
      <c r="H77" t="s">
        <v>59</v>
      </c>
    </row>
    <row r="78" spans="1:8" x14ac:dyDescent="0.25">
      <c r="A78" t="s">
        <v>246</v>
      </c>
      <c r="B78" t="s">
        <v>59</v>
      </c>
      <c r="C78" t="s">
        <v>90</v>
      </c>
      <c r="D78" s="10" t="str">
        <f>[1]新生儿科!$O$6</f>
        <v>新生儿肺炎（先天性肺炎）</v>
      </c>
      <c r="E78" s="10" t="str">
        <f>[1]新生儿科!$I$6</f>
        <v>新生儿肺炎（先天性肺炎）</v>
      </c>
      <c r="F78" s="10" t="str">
        <f>[1]新生儿科!$C$6</f>
        <v>新生儿肺炎（先天性肺炎）</v>
      </c>
      <c r="G78" t="s">
        <v>59</v>
      </c>
      <c r="H78" t="s">
        <v>59</v>
      </c>
    </row>
    <row r="79" spans="1:8" x14ac:dyDescent="0.25">
      <c r="A79" t="s">
        <v>247</v>
      </c>
      <c r="B79" t="s">
        <v>59</v>
      </c>
      <c r="C79" t="s">
        <v>90</v>
      </c>
      <c r="D79" s="10" t="str">
        <f>[1]新生儿科!$N$6</f>
        <v>P23</v>
      </c>
      <c r="E79" s="10" t="str">
        <f>[1]新生儿科!$H$6</f>
        <v>P23</v>
      </c>
      <c r="F79" s="10" t="str">
        <f>[1]新生儿科!$B$6</f>
        <v>P23</v>
      </c>
      <c r="G79" t="s">
        <v>59</v>
      </c>
      <c r="H79" t="s">
        <v>59</v>
      </c>
    </row>
    <row r="80" spans="1:8" x14ac:dyDescent="0.25">
      <c r="A80" t="s">
        <v>248</v>
      </c>
      <c r="B80" t="s">
        <v>14</v>
      </c>
      <c r="C80" t="s">
        <v>90</v>
      </c>
      <c r="D80" s="10">
        <f>[1]新生儿科!$Q$6</f>
        <v>16.3873370577281</v>
      </c>
      <c r="E80" s="10">
        <f>[1]新生儿科!$K$6</f>
        <v>17.8094390026714</v>
      </c>
      <c r="F80" s="10">
        <f>[1]新生儿科!$E$6</f>
        <v>15.1649746192893</v>
      </c>
      <c r="G80" t="s">
        <v>59</v>
      </c>
      <c r="H80" t="s">
        <v>59</v>
      </c>
    </row>
    <row r="81" spans="1:8" x14ac:dyDescent="0.25">
      <c r="A81" t="s">
        <v>249</v>
      </c>
      <c r="B81" t="s">
        <v>59</v>
      </c>
      <c r="C81" t="s">
        <v>90</v>
      </c>
      <c r="D81" s="10" t="str">
        <f>[1]新生儿科!$O$7</f>
        <v>新生儿的溶血性疾病</v>
      </c>
      <c r="E81" s="10" t="str">
        <f>[1]新生儿科!$I$7</f>
        <v>新生儿的溶血性疾病</v>
      </c>
      <c r="F81" s="10" t="str">
        <f>[1]新生儿科!$C$7</f>
        <v>胎儿和新生儿的ABO同种免疫</v>
      </c>
      <c r="G81" t="s">
        <v>59</v>
      </c>
      <c r="H81" t="s">
        <v>59</v>
      </c>
    </row>
    <row r="82" spans="1:8" x14ac:dyDescent="0.25">
      <c r="A82" t="s">
        <v>250</v>
      </c>
      <c r="B82" t="s">
        <v>59</v>
      </c>
      <c r="C82" t="s">
        <v>90</v>
      </c>
      <c r="D82" s="10" t="str">
        <f>[1]新生儿科!$N$7</f>
        <v>P55</v>
      </c>
      <c r="E82" s="10" t="str">
        <f>[1]新生儿科!$H$7</f>
        <v>P55</v>
      </c>
      <c r="F82" s="10" t="str">
        <f>[1]新生儿科!$B$7</f>
        <v>P55.1</v>
      </c>
      <c r="G82" t="s">
        <v>59</v>
      </c>
      <c r="H82" t="s">
        <v>59</v>
      </c>
    </row>
    <row r="83" spans="1:8" x14ac:dyDescent="0.25">
      <c r="A83" t="s">
        <v>251</v>
      </c>
      <c r="B83" t="s">
        <v>14</v>
      </c>
      <c r="C83" t="s">
        <v>90</v>
      </c>
      <c r="D83" s="10">
        <f>[1]新生儿科!$Q$7</f>
        <v>9.4972067039106101</v>
      </c>
      <c r="E83" s="10">
        <f>[1]新生儿科!$K$7</f>
        <v>7.4799643811219996</v>
      </c>
      <c r="F83" s="10">
        <f>[1]新生儿科!$E$7</f>
        <v>9.0101522842639596</v>
      </c>
      <c r="G83" t="s">
        <v>59</v>
      </c>
      <c r="H83" t="s">
        <v>59</v>
      </c>
    </row>
    <row r="84" spans="1:8" x14ac:dyDescent="0.25">
      <c r="A84" t="s">
        <v>252</v>
      </c>
      <c r="B84" t="s">
        <v>59</v>
      </c>
      <c r="C84" t="s">
        <v>90</v>
      </c>
      <c r="D84" s="10" t="str">
        <f>[1]新生儿科!$O$8</f>
        <v>早产低体重儿</v>
      </c>
      <c r="E84" s="10" t="str">
        <f>[1]新生儿科!$I$8</f>
        <v>早产低体重儿</v>
      </c>
      <c r="F84" s="10" t="str">
        <f>[1]新生儿科!$C$8</f>
        <v>脑损伤综合征</v>
      </c>
      <c r="G84" t="s">
        <v>59</v>
      </c>
      <c r="H84" t="s">
        <v>59</v>
      </c>
    </row>
    <row r="85" spans="1:8" x14ac:dyDescent="0.25">
      <c r="A85" t="s">
        <v>253</v>
      </c>
      <c r="B85" t="s">
        <v>59</v>
      </c>
      <c r="C85" t="s">
        <v>90</v>
      </c>
      <c r="D85" s="10" t="str">
        <f>[1]新生儿科!$N$8</f>
        <v>P07</v>
      </c>
      <c r="E85" s="10" t="str">
        <f>[1]新生儿科!$H$8</f>
        <v>P07</v>
      </c>
      <c r="F85" s="10" t="str">
        <f>[1]新生儿科!$B$8</f>
        <v>G93.4</v>
      </c>
      <c r="G85" t="s">
        <v>59</v>
      </c>
      <c r="H85" t="s">
        <v>59</v>
      </c>
    </row>
    <row r="86" spans="1:8" x14ac:dyDescent="0.25">
      <c r="A86" t="s">
        <v>254</v>
      </c>
      <c r="B86" t="s">
        <v>14</v>
      </c>
      <c r="C86" t="s">
        <v>90</v>
      </c>
      <c r="D86" s="10">
        <f>[1]新生儿科!$Q$8</f>
        <v>4.0037243947858503</v>
      </c>
      <c r="E86" s="10">
        <f>[1]新生儿科!$K$8</f>
        <v>2.84951024042743</v>
      </c>
      <c r="F86" s="10">
        <f>[1]新生儿科!$E$8</f>
        <v>2.85532994923858</v>
      </c>
      <c r="G86" t="s">
        <v>59</v>
      </c>
      <c r="H86" t="s">
        <v>59</v>
      </c>
    </row>
    <row r="87" spans="1:8" x14ac:dyDescent="0.25">
      <c r="A87" t="s">
        <v>255</v>
      </c>
      <c r="B87" t="s">
        <v>59</v>
      </c>
      <c r="C87" t="s">
        <v>90</v>
      </c>
      <c r="D87" t="s">
        <v>59</v>
      </c>
      <c r="E87" t="s">
        <v>59</v>
      </c>
      <c r="F87" t="s">
        <v>59</v>
      </c>
      <c r="G87" t="s">
        <v>59</v>
      </c>
      <c r="H87" t="s">
        <v>59</v>
      </c>
    </row>
    <row r="88" spans="1:8" x14ac:dyDescent="0.25">
      <c r="A88" t="s">
        <v>256</v>
      </c>
      <c r="B88" t="s">
        <v>59</v>
      </c>
      <c r="C88" t="s">
        <v>90</v>
      </c>
      <c r="D88" t="s">
        <v>59</v>
      </c>
      <c r="E88" t="s">
        <v>59</v>
      </c>
      <c r="F88" t="s">
        <v>59</v>
      </c>
      <c r="G88" t="s">
        <v>59</v>
      </c>
      <c r="H88" t="s">
        <v>59</v>
      </c>
    </row>
    <row r="89" spans="1:8" x14ac:dyDescent="0.25">
      <c r="A89" t="s">
        <v>257</v>
      </c>
      <c r="B89" t="s">
        <v>14</v>
      </c>
      <c r="C89" t="s">
        <v>90</v>
      </c>
      <c r="D89" t="s">
        <v>59</v>
      </c>
      <c r="E89" t="s">
        <v>59</v>
      </c>
      <c r="F89" t="s">
        <v>59</v>
      </c>
      <c r="G89" t="s">
        <v>59</v>
      </c>
      <c r="H89" t="s">
        <v>59</v>
      </c>
    </row>
    <row r="90" spans="1:8" x14ac:dyDescent="0.25">
      <c r="A90" t="s">
        <v>258</v>
      </c>
      <c r="B90" t="s">
        <v>59</v>
      </c>
      <c r="C90" t="s">
        <v>90</v>
      </c>
      <c r="D90" t="s">
        <v>59</v>
      </c>
      <c r="E90" t="s">
        <v>59</v>
      </c>
      <c r="F90" t="s">
        <v>59</v>
      </c>
      <c r="G90" t="s">
        <v>59</v>
      </c>
      <c r="H90" t="s">
        <v>59</v>
      </c>
    </row>
    <row r="91" spans="1:8" x14ac:dyDescent="0.25">
      <c r="A91" t="s">
        <v>259</v>
      </c>
      <c r="B91" t="s">
        <v>59</v>
      </c>
      <c r="C91" t="s">
        <v>90</v>
      </c>
      <c r="D91" t="s">
        <v>59</v>
      </c>
      <c r="E91" t="s">
        <v>59</v>
      </c>
      <c r="F91" t="s">
        <v>59</v>
      </c>
      <c r="G91" t="s">
        <v>59</v>
      </c>
      <c r="H91" t="s">
        <v>59</v>
      </c>
    </row>
    <row r="92" spans="1:8" x14ac:dyDescent="0.25">
      <c r="A92" t="s">
        <v>260</v>
      </c>
      <c r="B92" t="s">
        <v>14</v>
      </c>
      <c r="C92" t="s">
        <v>90</v>
      </c>
      <c r="D92" t="s">
        <v>59</v>
      </c>
      <c r="E92" t="s">
        <v>59</v>
      </c>
      <c r="F92" t="s">
        <v>59</v>
      </c>
      <c r="G92" t="s">
        <v>59</v>
      </c>
      <c r="H92" t="s">
        <v>59</v>
      </c>
    </row>
    <row r="93" spans="1:8" x14ac:dyDescent="0.25">
      <c r="A93" t="s">
        <v>261</v>
      </c>
      <c r="B93" t="s">
        <v>59</v>
      </c>
      <c r="C93" t="s">
        <v>90</v>
      </c>
      <c r="D93" t="s">
        <v>59</v>
      </c>
      <c r="E93" t="s">
        <v>59</v>
      </c>
      <c r="F93" t="s">
        <v>59</v>
      </c>
      <c r="G93" t="s">
        <v>59</v>
      </c>
      <c r="H93" t="s">
        <v>59</v>
      </c>
    </row>
    <row r="94" spans="1:8" x14ac:dyDescent="0.25">
      <c r="A94" t="s">
        <v>262</v>
      </c>
      <c r="B94" t="s">
        <v>59</v>
      </c>
      <c r="C94" t="s">
        <v>90</v>
      </c>
      <c r="D94" t="s">
        <v>59</v>
      </c>
      <c r="E94" t="s">
        <v>59</v>
      </c>
      <c r="F94" t="s">
        <v>59</v>
      </c>
      <c r="G94" t="s">
        <v>59</v>
      </c>
      <c r="H94" t="s">
        <v>59</v>
      </c>
    </row>
    <row r="95" spans="1:8" x14ac:dyDescent="0.25">
      <c r="A95" t="s">
        <v>263</v>
      </c>
      <c r="B95" t="s">
        <v>14</v>
      </c>
      <c r="C95" t="s">
        <v>90</v>
      </c>
      <c r="D95" t="s">
        <v>59</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G34:H86 D87:H101 A34:B101 A1:H1" numberStoredAsText="1"/>
  </ignoredError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101"/>
  <sheetViews>
    <sheetView topLeftCell="A17" workbookViewId="0">
      <selection activeCell="F40" sqref="F40"/>
    </sheetView>
  </sheetViews>
  <sheetFormatPr defaultColWidth="9" defaultRowHeight="15" x14ac:dyDescent="0.25"/>
  <cols>
    <col min="1" max="1" width="28" customWidth="1"/>
    <col min="2" max="2" width="11" customWidth="1"/>
    <col min="3" max="3" width="9" customWidth="1"/>
    <col min="4" max="6" width="10" customWidth="1"/>
    <col min="7" max="7" width="70" customWidth="1"/>
    <col min="8" max="8" width="54" customWidth="1"/>
  </cols>
  <sheetData>
    <row r="1" spans="1:8" x14ac:dyDescent="0.25">
      <c r="A1" t="s">
        <v>0</v>
      </c>
      <c r="B1" t="s">
        <v>1</v>
      </c>
      <c r="C1" t="s">
        <v>2</v>
      </c>
      <c r="D1" t="s">
        <v>3</v>
      </c>
      <c r="E1" t="s">
        <v>4</v>
      </c>
      <c r="F1" t="s">
        <v>5</v>
      </c>
      <c r="G1" t="s">
        <v>6</v>
      </c>
      <c r="H1" t="s">
        <v>7</v>
      </c>
    </row>
    <row r="2" spans="1:8" x14ac:dyDescent="0.25">
      <c r="A2" t="s">
        <v>13</v>
      </c>
      <c r="B2" t="s">
        <v>14</v>
      </c>
      <c r="C2" t="s">
        <v>15</v>
      </c>
      <c r="D2" s="5">
        <v>4.3196544276457902E-2</v>
      </c>
      <c r="E2" s="6">
        <v>0</v>
      </c>
      <c r="F2" s="6">
        <v>0</v>
      </c>
      <c r="G2" t="s">
        <v>16</v>
      </c>
      <c r="H2" t="s">
        <v>17</v>
      </c>
    </row>
    <row r="3" spans="1:8" x14ac:dyDescent="0.25">
      <c r="A3" t="s">
        <v>18</v>
      </c>
      <c r="B3" t="s">
        <v>14</v>
      </c>
      <c r="C3" t="s">
        <v>15</v>
      </c>
      <c r="D3" s="6">
        <v>0</v>
      </c>
      <c r="E3" s="6">
        <v>0</v>
      </c>
      <c r="F3" s="6">
        <v>0</v>
      </c>
      <c r="G3" t="s">
        <v>19</v>
      </c>
      <c r="H3" t="s">
        <v>20</v>
      </c>
    </row>
    <row r="4" spans="1:8" x14ac:dyDescent="0.25">
      <c r="A4" t="s">
        <v>21</v>
      </c>
      <c r="B4" t="s">
        <v>14</v>
      </c>
      <c r="C4" t="s">
        <v>15</v>
      </c>
      <c r="D4" s="6">
        <v>0</v>
      </c>
      <c r="E4" s="6">
        <v>0</v>
      </c>
      <c r="F4" s="6">
        <v>0</v>
      </c>
      <c r="G4" t="s">
        <v>22</v>
      </c>
      <c r="H4" t="s">
        <v>23</v>
      </c>
    </row>
    <row r="5" spans="1:8" x14ac:dyDescent="0.25">
      <c r="A5" t="s">
        <v>24</v>
      </c>
      <c r="B5" t="s">
        <v>14</v>
      </c>
      <c r="C5" t="s">
        <v>15</v>
      </c>
      <c r="D5" s="6">
        <v>100</v>
      </c>
      <c r="E5" s="6">
        <v>99.88</v>
      </c>
      <c r="F5" s="6">
        <v>100</v>
      </c>
      <c r="G5" t="s">
        <v>25</v>
      </c>
      <c r="H5" t="s">
        <v>26</v>
      </c>
    </row>
    <row r="6" spans="1:8" x14ac:dyDescent="0.25">
      <c r="A6" t="s">
        <v>33</v>
      </c>
      <c r="B6" t="s">
        <v>14</v>
      </c>
      <c r="C6" t="s">
        <v>34</v>
      </c>
      <c r="D6" s="6">
        <v>0</v>
      </c>
      <c r="E6" s="6">
        <v>0</v>
      </c>
      <c r="F6" s="6">
        <v>0</v>
      </c>
      <c r="G6" t="s">
        <v>35</v>
      </c>
      <c r="H6" t="s">
        <v>36</v>
      </c>
    </row>
    <row r="7" spans="1:8" x14ac:dyDescent="0.25">
      <c r="A7" t="s">
        <v>37</v>
      </c>
      <c r="B7" t="s">
        <v>14</v>
      </c>
      <c r="C7" t="s">
        <v>34</v>
      </c>
      <c r="D7" s="6">
        <v>0</v>
      </c>
      <c r="E7" s="6">
        <v>0</v>
      </c>
      <c r="F7" s="6">
        <v>0</v>
      </c>
      <c r="G7" t="s">
        <v>39</v>
      </c>
      <c r="H7" t="s">
        <v>40</v>
      </c>
    </row>
    <row r="8" spans="1:8" x14ac:dyDescent="0.25">
      <c r="A8" t="s">
        <v>41</v>
      </c>
      <c r="B8" t="s">
        <v>14</v>
      </c>
      <c r="C8" t="s">
        <v>10</v>
      </c>
      <c r="D8" s="6"/>
      <c r="E8" s="6"/>
      <c r="F8" s="6"/>
      <c r="G8" t="s">
        <v>39</v>
      </c>
      <c r="H8" t="s">
        <v>44</v>
      </c>
    </row>
    <row r="9" spans="1:8" x14ac:dyDescent="0.25">
      <c r="A9" t="s">
        <v>51</v>
      </c>
      <c r="B9" t="s">
        <v>14</v>
      </c>
      <c r="C9" t="s">
        <v>34</v>
      </c>
      <c r="D9" s="6">
        <v>0</v>
      </c>
      <c r="E9" s="6">
        <v>0</v>
      </c>
      <c r="F9" s="6">
        <v>0</v>
      </c>
      <c r="G9" t="s">
        <v>19</v>
      </c>
      <c r="H9" t="s">
        <v>52</v>
      </c>
    </row>
    <row r="10" spans="1:8" x14ac:dyDescent="0.25">
      <c r="A10" t="s">
        <v>57</v>
      </c>
      <c r="B10" t="s">
        <v>14</v>
      </c>
      <c r="C10" t="s">
        <v>38</v>
      </c>
      <c r="D10" s="6">
        <v>0.78</v>
      </c>
      <c r="E10" s="6">
        <v>0.77</v>
      </c>
      <c r="F10" s="6">
        <v>2.54</v>
      </c>
      <c r="G10" t="s">
        <v>58</v>
      </c>
      <c r="H10" t="s">
        <v>59</v>
      </c>
    </row>
    <row r="11" spans="1:8" x14ac:dyDescent="0.25">
      <c r="A11" t="s">
        <v>63</v>
      </c>
      <c r="B11" t="s">
        <v>64</v>
      </c>
      <c r="C11" t="s">
        <v>61</v>
      </c>
      <c r="D11" s="5">
        <v>6.2054958830038198E-2</v>
      </c>
      <c r="E11" s="5">
        <v>0.375578588584845</v>
      </c>
      <c r="F11" s="5">
        <v>0.96047639117748695</v>
      </c>
      <c r="G11" t="s">
        <v>35</v>
      </c>
      <c r="H11" t="s">
        <v>65</v>
      </c>
    </row>
    <row r="12" spans="1:8" x14ac:dyDescent="0.25">
      <c r="A12" t="s">
        <v>66</v>
      </c>
      <c r="B12" t="s">
        <v>14</v>
      </c>
      <c r="C12" t="s">
        <v>61</v>
      </c>
      <c r="D12" s="6">
        <v>45.29</v>
      </c>
      <c r="E12" s="6">
        <v>11.91</v>
      </c>
      <c r="F12" s="6">
        <v>32.9</v>
      </c>
      <c r="G12" t="s">
        <v>39</v>
      </c>
      <c r="H12" t="s">
        <v>67</v>
      </c>
    </row>
    <row r="13" spans="1:8" x14ac:dyDescent="0.25">
      <c r="A13" t="s">
        <v>68</v>
      </c>
      <c r="B13" t="s">
        <v>14</v>
      </c>
      <c r="C13" t="s">
        <v>61</v>
      </c>
      <c r="D13" s="6">
        <v>30.85</v>
      </c>
      <c r="E13" s="6">
        <v>15.31</v>
      </c>
      <c r="F13" s="6">
        <v>25.21</v>
      </c>
      <c r="G13" t="s">
        <v>39</v>
      </c>
      <c r="H13" t="s">
        <v>69</v>
      </c>
    </row>
    <row r="14" spans="1:8" x14ac:dyDescent="0.25">
      <c r="A14" t="s">
        <v>74</v>
      </c>
      <c r="B14" t="s">
        <v>14</v>
      </c>
      <c r="C14" t="s">
        <v>75</v>
      </c>
      <c r="D14" s="6">
        <v>0</v>
      </c>
      <c r="E14" s="6">
        <v>0</v>
      </c>
      <c r="F14" s="6">
        <v>0</v>
      </c>
      <c r="G14" t="s">
        <v>35</v>
      </c>
      <c r="H14" t="s">
        <v>76</v>
      </c>
    </row>
    <row r="15" spans="1:8" x14ac:dyDescent="0.25">
      <c r="A15" t="s">
        <v>91</v>
      </c>
      <c r="B15" t="s">
        <v>92</v>
      </c>
      <c r="C15" t="s">
        <v>15</v>
      </c>
      <c r="D15" s="6">
        <v>8.92</v>
      </c>
      <c r="E15" s="6">
        <v>9.02</v>
      </c>
      <c r="F15" s="6">
        <v>9.4700000000000006</v>
      </c>
      <c r="G15" t="s">
        <v>93</v>
      </c>
      <c r="H15" t="s">
        <v>94</v>
      </c>
    </row>
    <row r="16" spans="1:8" x14ac:dyDescent="0.25">
      <c r="A16" t="s">
        <v>95</v>
      </c>
      <c r="B16" t="s">
        <v>59</v>
      </c>
      <c r="C16" t="s">
        <v>34</v>
      </c>
      <c r="D16" s="6">
        <v>0.79</v>
      </c>
      <c r="E16" s="6">
        <v>0.79</v>
      </c>
      <c r="F16" s="6">
        <v>1.04</v>
      </c>
      <c r="G16" t="s">
        <v>96</v>
      </c>
      <c r="H16" t="s">
        <v>59</v>
      </c>
    </row>
    <row r="17" spans="1:8" x14ac:dyDescent="0.25">
      <c r="A17" t="s">
        <v>97</v>
      </c>
      <c r="B17" t="s">
        <v>98</v>
      </c>
      <c r="C17" t="s">
        <v>34</v>
      </c>
      <c r="D17" s="6">
        <v>4</v>
      </c>
      <c r="E17" s="6">
        <v>6</v>
      </c>
      <c r="F17" s="6">
        <v>8</v>
      </c>
      <c r="G17" t="s">
        <v>99</v>
      </c>
      <c r="H17" t="s">
        <v>59</v>
      </c>
    </row>
    <row r="18" spans="1:8" x14ac:dyDescent="0.25">
      <c r="A18" t="s">
        <v>104</v>
      </c>
      <c r="B18" t="s">
        <v>105</v>
      </c>
      <c r="C18" t="s">
        <v>15</v>
      </c>
      <c r="D18" s="6">
        <v>57</v>
      </c>
      <c r="E18" s="6">
        <v>57</v>
      </c>
      <c r="F18" s="6">
        <v>57</v>
      </c>
      <c r="G18" t="s">
        <v>58</v>
      </c>
      <c r="H18" t="s">
        <v>59</v>
      </c>
    </row>
    <row r="19" spans="1:8" x14ac:dyDescent="0.25">
      <c r="A19" t="s">
        <v>106</v>
      </c>
      <c r="B19" t="s">
        <v>105</v>
      </c>
      <c r="C19" t="s">
        <v>15</v>
      </c>
      <c r="D19" s="6">
        <v>63</v>
      </c>
      <c r="E19" s="6">
        <v>57</v>
      </c>
      <c r="F19" s="6">
        <v>68</v>
      </c>
      <c r="G19" t="s">
        <v>58</v>
      </c>
      <c r="H19" t="s">
        <v>59</v>
      </c>
    </row>
    <row r="20" spans="1:8" x14ac:dyDescent="0.25">
      <c r="A20" t="s">
        <v>107</v>
      </c>
      <c r="B20" t="s">
        <v>14</v>
      </c>
      <c r="C20" t="s">
        <v>15</v>
      </c>
      <c r="D20" s="6">
        <v>93.04</v>
      </c>
      <c r="E20" s="6">
        <v>94.95</v>
      </c>
      <c r="F20" s="6">
        <v>105.44</v>
      </c>
      <c r="G20" t="s">
        <v>58</v>
      </c>
      <c r="H20" t="s">
        <v>108</v>
      </c>
    </row>
    <row r="21" spans="1:8" x14ac:dyDescent="0.25">
      <c r="A21" t="s">
        <v>112</v>
      </c>
      <c r="B21" t="s">
        <v>59</v>
      </c>
      <c r="C21" t="s">
        <v>102</v>
      </c>
      <c r="D21" s="5">
        <f t="shared" ref="D21:F21" si="0">D43/D19</f>
        <v>0.1111111111111111</v>
      </c>
      <c r="E21" s="5">
        <f t="shared" si="0"/>
        <v>0.10526315789473684</v>
      </c>
      <c r="F21" s="5">
        <f t="shared" si="0"/>
        <v>8.8235294117647065E-2</v>
      </c>
      <c r="G21" t="s">
        <v>110</v>
      </c>
      <c r="H21" t="s">
        <v>113</v>
      </c>
    </row>
    <row r="22" spans="1:8" x14ac:dyDescent="0.25">
      <c r="A22" t="s">
        <v>114</v>
      </c>
      <c r="B22" t="s">
        <v>59</v>
      </c>
      <c r="C22" t="s">
        <v>102</v>
      </c>
      <c r="D22" s="5">
        <f t="shared" ref="D22:F22" si="1">D44/D19</f>
        <v>0.26984126984126983</v>
      </c>
      <c r="E22" s="5">
        <f t="shared" si="1"/>
        <v>0.31578947368421051</v>
      </c>
      <c r="F22" s="5">
        <f t="shared" si="1"/>
        <v>0.26470588235294118</v>
      </c>
      <c r="G22" t="s">
        <v>110</v>
      </c>
      <c r="H22" t="s">
        <v>115</v>
      </c>
    </row>
    <row r="23" spans="1:8" x14ac:dyDescent="0.25">
      <c r="A23" t="s">
        <v>116</v>
      </c>
      <c r="B23" t="s">
        <v>117</v>
      </c>
      <c r="C23" t="s">
        <v>118</v>
      </c>
      <c r="D23" s="5">
        <v>20.4836606</v>
      </c>
      <c r="E23" s="5">
        <v>20.602888812500002</v>
      </c>
      <c r="F23" s="5">
        <v>21.236821562500001</v>
      </c>
      <c r="G23" t="s">
        <v>119</v>
      </c>
      <c r="H23" t="s">
        <v>59</v>
      </c>
    </row>
    <row r="24" spans="1:8" x14ac:dyDescent="0.25">
      <c r="A24" t="s">
        <v>120</v>
      </c>
      <c r="B24" t="s">
        <v>117</v>
      </c>
      <c r="C24" t="s">
        <v>118</v>
      </c>
      <c r="D24" s="5">
        <v>23.715027020000001</v>
      </c>
      <c r="E24" s="5">
        <v>23.7923703541667</v>
      </c>
      <c r="F24" s="5">
        <v>24.098123229166699</v>
      </c>
      <c r="G24" t="s">
        <v>121</v>
      </c>
      <c r="H24" t="s">
        <v>59</v>
      </c>
    </row>
    <row r="25" spans="1:8" x14ac:dyDescent="0.25">
      <c r="A25" t="s">
        <v>122</v>
      </c>
      <c r="B25" t="s">
        <v>117</v>
      </c>
      <c r="C25" t="s">
        <v>118</v>
      </c>
      <c r="D25" s="5">
        <v>16.7816324758316</v>
      </c>
      <c r="E25" s="5">
        <v>15.5984016246057</v>
      </c>
      <c r="F25" s="5">
        <v>14.990697573529401</v>
      </c>
      <c r="G25" t="s">
        <v>123</v>
      </c>
      <c r="H25" t="s">
        <v>59</v>
      </c>
    </row>
    <row r="26" spans="1:8" x14ac:dyDescent="0.25">
      <c r="A26" t="s">
        <v>124</v>
      </c>
      <c r="B26" t="s">
        <v>117</v>
      </c>
      <c r="C26" t="s">
        <v>118</v>
      </c>
      <c r="D26" s="5">
        <v>19.428991495985599</v>
      </c>
      <c r="E26" s="5">
        <v>18.013151056782299</v>
      </c>
      <c r="F26" s="5">
        <v>17.0104399264706</v>
      </c>
      <c r="G26" t="s">
        <v>125</v>
      </c>
      <c r="H26" t="s">
        <v>59</v>
      </c>
    </row>
    <row r="27" spans="1:8" x14ac:dyDescent="0.25">
      <c r="A27" t="s">
        <v>126</v>
      </c>
      <c r="B27" t="s">
        <v>127</v>
      </c>
      <c r="C27" t="s">
        <v>118</v>
      </c>
      <c r="D27" s="5">
        <v>8.1111545988258307</v>
      </c>
      <c r="E27" s="5">
        <v>10.060273972602699</v>
      </c>
      <c r="F27" s="5">
        <v>11.9497716894977</v>
      </c>
      <c r="G27" t="s">
        <v>39</v>
      </c>
      <c r="H27" t="s">
        <v>128</v>
      </c>
    </row>
    <row r="28" spans="1:8" x14ac:dyDescent="0.25">
      <c r="A28" t="s">
        <v>129</v>
      </c>
      <c r="B28" t="s">
        <v>14</v>
      </c>
      <c r="C28" t="s">
        <v>118</v>
      </c>
      <c r="D28" s="5">
        <v>83.499338372140699</v>
      </c>
      <c r="E28" s="5">
        <v>85.574124886745906</v>
      </c>
      <c r="F28" s="5">
        <v>78.081519305886303</v>
      </c>
      <c r="G28" t="s">
        <v>130</v>
      </c>
      <c r="H28" t="s">
        <v>131</v>
      </c>
    </row>
    <row r="29" spans="1:8" x14ac:dyDescent="0.25">
      <c r="A29" t="s">
        <v>132</v>
      </c>
      <c r="B29" t="s">
        <v>117</v>
      </c>
      <c r="C29" t="s">
        <v>118</v>
      </c>
      <c r="D29" s="5">
        <v>1226.5762219999999</v>
      </c>
      <c r="E29" s="5">
        <v>1155.6515059999999</v>
      </c>
      <c r="F29" s="5">
        <v>1305.5169060000001</v>
      </c>
      <c r="G29" t="s">
        <v>59</v>
      </c>
      <c r="H29" t="s">
        <v>133</v>
      </c>
    </row>
    <row r="30" spans="1:8" x14ac:dyDescent="0.25">
      <c r="A30" t="s">
        <v>134</v>
      </c>
      <c r="B30" t="s">
        <v>117</v>
      </c>
      <c r="C30" t="s">
        <v>118</v>
      </c>
      <c r="D30" s="5">
        <v>1024.1830299999999</v>
      </c>
      <c r="E30" s="5">
        <v>988.93866300000002</v>
      </c>
      <c r="F30" s="5">
        <v>1019.367435</v>
      </c>
      <c r="G30" t="s">
        <v>59</v>
      </c>
      <c r="H30" t="s">
        <v>59</v>
      </c>
    </row>
    <row r="31" spans="1:8" x14ac:dyDescent="0.25">
      <c r="A31" t="s">
        <v>135</v>
      </c>
      <c r="B31" t="s">
        <v>117</v>
      </c>
      <c r="C31" t="s">
        <v>118</v>
      </c>
      <c r="D31" s="5">
        <v>1185.7513510000001</v>
      </c>
      <c r="E31" s="5">
        <v>1142.0337770000001</v>
      </c>
      <c r="F31" s="5">
        <v>1156.7099149999999</v>
      </c>
      <c r="G31" t="s">
        <v>59</v>
      </c>
      <c r="H31" t="s">
        <v>136</v>
      </c>
    </row>
    <row r="32" spans="1:8" x14ac:dyDescent="0.25">
      <c r="A32" t="s">
        <v>216</v>
      </c>
      <c r="B32" t="s">
        <v>117</v>
      </c>
      <c r="D32" s="7">
        <v>1230.17</v>
      </c>
      <c r="E32" s="7">
        <v>967.86</v>
      </c>
      <c r="F32" s="7">
        <v>1016.35</v>
      </c>
    </row>
    <row r="33" spans="1:8" x14ac:dyDescent="0.25">
      <c r="A33" t="s">
        <v>143</v>
      </c>
      <c r="B33" t="s">
        <v>14</v>
      </c>
      <c r="D33" s="8">
        <v>-74.05</v>
      </c>
      <c r="E33" s="8">
        <v>-84.86</v>
      </c>
      <c r="F33" s="8">
        <v>-95.03</v>
      </c>
    </row>
    <row r="34" spans="1:8" x14ac:dyDescent="0.25">
      <c r="A34" t="s">
        <v>137</v>
      </c>
      <c r="B34" t="s">
        <v>138</v>
      </c>
      <c r="C34" t="s">
        <v>139</v>
      </c>
      <c r="D34" s="6"/>
      <c r="E34" s="6"/>
      <c r="F34" s="6"/>
      <c r="G34" t="s">
        <v>35</v>
      </c>
      <c r="H34" t="s">
        <v>140</v>
      </c>
    </row>
    <row r="35" spans="1:8" x14ac:dyDescent="0.25">
      <c r="A35" t="s">
        <v>217</v>
      </c>
      <c r="B35" t="s">
        <v>14</v>
      </c>
      <c r="C35" t="s">
        <v>118</v>
      </c>
      <c r="D35" s="5">
        <v>9.4714748187903499</v>
      </c>
      <c r="E35" s="5">
        <v>4.8806457402738896</v>
      </c>
      <c r="F35" s="5">
        <v>4.6550777489510304</v>
      </c>
      <c r="G35" t="s">
        <v>22</v>
      </c>
      <c r="H35" t="s">
        <v>218</v>
      </c>
    </row>
    <row r="36" spans="1:8" x14ac:dyDescent="0.25">
      <c r="A36" t="s">
        <v>219</v>
      </c>
      <c r="B36" t="s">
        <v>14</v>
      </c>
      <c r="C36" t="s">
        <v>118</v>
      </c>
      <c r="D36" s="5">
        <v>90.528525181209602</v>
      </c>
      <c r="E36" s="5">
        <v>95.119354259726094</v>
      </c>
      <c r="F36" s="5">
        <v>95.344922251048999</v>
      </c>
      <c r="G36" t="s">
        <v>22</v>
      </c>
      <c r="H36" t="s">
        <v>220</v>
      </c>
    </row>
    <row r="37" spans="1:8" x14ac:dyDescent="0.25">
      <c r="A37" t="s">
        <v>144</v>
      </c>
      <c r="B37" t="s">
        <v>14</v>
      </c>
      <c r="C37" t="s">
        <v>118</v>
      </c>
      <c r="D37" s="5">
        <v>6.1372062106757603</v>
      </c>
      <c r="E37" s="5">
        <v>-11.47939174983</v>
      </c>
      <c r="F37" s="5">
        <v>525.17262945294704</v>
      </c>
      <c r="G37" t="s">
        <v>35</v>
      </c>
      <c r="H37" t="s">
        <v>145</v>
      </c>
    </row>
    <row r="38" spans="1:8" x14ac:dyDescent="0.25">
      <c r="A38" t="s">
        <v>146</v>
      </c>
      <c r="B38" t="s">
        <v>14</v>
      </c>
      <c r="C38" t="s">
        <v>118</v>
      </c>
      <c r="D38" s="5">
        <v>54.167122846711898</v>
      </c>
      <c r="E38" s="5">
        <v>-0.10289907948171299</v>
      </c>
      <c r="F38" s="5">
        <v>13.8338190413295</v>
      </c>
      <c r="G38" t="s">
        <v>35</v>
      </c>
      <c r="H38" t="s">
        <v>147</v>
      </c>
    </row>
    <row r="39" spans="1:8" x14ac:dyDescent="0.25">
      <c r="A39" t="s">
        <v>148</v>
      </c>
      <c r="B39" t="s">
        <v>14</v>
      </c>
      <c r="C39" t="s">
        <v>118</v>
      </c>
      <c r="D39" s="5">
        <v>6.1995948269829899</v>
      </c>
      <c r="E39" s="5">
        <v>-8.6983271110743707E-2</v>
      </c>
      <c r="F39" s="5">
        <v>7.7052774649441398</v>
      </c>
      <c r="G39" t="s">
        <v>35</v>
      </c>
      <c r="H39" t="s">
        <v>149</v>
      </c>
    </row>
    <row r="40" spans="1:8" x14ac:dyDescent="0.25">
      <c r="A40" t="s">
        <v>150</v>
      </c>
      <c r="B40" t="s">
        <v>14</v>
      </c>
      <c r="C40" t="s">
        <v>118</v>
      </c>
      <c r="D40" s="5">
        <v>4063.0188893602199</v>
      </c>
      <c r="E40" s="5">
        <v>-82.965661574861301</v>
      </c>
      <c r="F40" s="5">
        <v>-40.8381600469964</v>
      </c>
      <c r="G40" t="s">
        <v>35</v>
      </c>
      <c r="H40" t="s">
        <v>151</v>
      </c>
    </row>
    <row r="41" spans="1:8" x14ac:dyDescent="0.25">
      <c r="A41" t="s">
        <v>152</v>
      </c>
      <c r="B41" t="s">
        <v>14</v>
      </c>
      <c r="C41" t="s">
        <v>118</v>
      </c>
      <c r="D41" s="5">
        <v>-45.544683026520403</v>
      </c>
      <c r="E41" s="5">
        <v>-90.252815531419898</v>
      </c>
      <c r="F41" s="5">
        <v>-29.423725328166501</v>
      </c>
      <c r="G41" t="s">
        <v>35</v>
      </c>
      <c r="H41" t="s">
        <v>153</v>
      </c>
    </row>
    <row r="42" spans="1:8" x14ac:dyDescent="0.25">
      <c r="A42" t="s">
        <v>164</v>
      </c>
      <c r="B42" t="s">
        <v>59</v>
      </c>
      <c r="C42" t="s">
        <v>102</v>
      </c>
      <c r="D42" s="6">
        <v>0.41</v>
      </c>
      <c r="E42" s="6">
        <v>0.33</v>
      </c>
      <c r="F42" s="6">
        <v>0.33</v>
      </c>
      <c r="G42" t="s">
        <v>165</v>
      </c>
      <c r="H42" t="s">
        <v>166</v>
      </c>
    </row>
    <row r="43" spans="1:8" x14ac:dyDescent="0.25">
      <c r="A43" t="s">
        <v>167</v>
      </c>
      <c r="B43" t="s">
        <v>101</v>
      </c>
      <c r="C43" t="s">
        <v>102</v>
      </c>
      <c r="D43" s="6">
        <v>7</v>
      </c>
      <c r="E43" s="6">
        <v>6</v>
      </c>
      <c r="F43" s="6">
        <v>6</v>
      </c>
      <c r="G43" t="s">
        <v>168</v>
      </c>
      <c r="H43" t="s">
        <v>59</v>
      </c>
    </row>
    <row r="44" spans="1:8" x14ac:dyDescent="0.25">
      <c r="A44" t="s">
        <v>169</v>
      </c>
      <c r="B44" t="s">
        <v>101</v>
      </c>
      <c r="C44" t="s">
        <v>102</v>
      </c>
      <c r="D44" s="6">
        <v>17</v>
      </c>
      <c r="E44" s="6">
        <v>18</v>
      </c>
      <c r="F44" s="6">
        <v>18</v>
      </c>
      <c r="G44" t="s">
        <v>168</v>
      </c>
      <c r="H44" t="s">
        <v>59</v>
      </c>
    </row>
    <row r="45" spans="1:8" x14ac:dyDescent="0.25">
      <c r="A45" t="s">
        <v>221</v>
      </c>
      <c r="B45" t="s">
        <v>14</v>
      </c>
      <c r="C45" t="s">
        <v>102</v>
      </c>
      <c r="D45" s="6">
        <v>28.57</v>
      </c>
      <c r="E45" s="6">
        <v>33.33</v>
      </c>
      <c r="F45" s="6">
        <v>33.33</v>
      </c>
      <c r="G45" t="s">
        <v>59</v>
      </c>
      <c r="H45" t="s">
        <v>222</v>
      </c>
    </row>
    <row r="46" spans="1:8" x14ac:dyDescent="0.25">
      <c r="A46" t="s">
        <v>223</v>
      </c>
      <c r="B46" t="s">
        <v>14</v>
      </c>
      <c r="C46" t="s">
        <v>102</v>
      </c>
      <c r="D46" s="6">
        <v>0</v>
      </c>
      <c r="E46" s="6">
        <v>0</v>
      </c>
      <c r="F46" s="6">
        <v>0</v>
      </c>
      <c r="G46" t="s">
        <v>59</v>
      </c>
      <c r="H46" t="s">
        <v>224</v>
      </c>
    </row>
    <row r="47" spans="1:8" x14ac:dyDescent="0.25">
      <c r="A47" t="s">
        <v>225</v>
      </c>
      <c r="B47" t="s">
        <v>14</v>
      </c>
      <c r="C47" t="s">
        <v>102</v>
      </c>
      <c r="D47" s="6">
        <v>42.86</v>
      </c>
      <c r="E47" s="6">
        <v>33.33</v>
      </c>
      <c r="F47" s="6">
        <v>33.33</v>
      </c>
      <c r="G47" t="s">
        <v>59</v>
      </c>
      <c r="H47" t="s">
        <v>226</v>
      </c>
    </row>
    <row r="48" spans="1:8" x14ac:dyDescent="0.25">
      <c r="A48" t="s">
        <v>188</v>
      </c>
      <c r="B48" t="s">
        <v>59</v>
      </c>
      <c r="C48" t="s">
        <v>176</v>
      </c>
      <c r="D48" s="6">
        <v>0</v>
      </c>
      <c r="E48" s="6">
        <v>0</v>
      </c>
      <c r="F48" s="6">
        <v>0</v>
      </c>
      <c r="G48" t="s">
        <v>186</v>
      </c>
      <c r="H48" t="s">
        <v>189</v>
      </c>
    </row>
    <row r="49" spans="1:8" x14ac:dyDescent="0.25">
      <c r="A49" t="s">
        <v>190</v>
      </c>
      <c r="B49" t="s">
        <v>59</v>
      </c>
      <c r="C49" t="s">
        <v>176</v>
      </c>
      <c r="D49" s="6">
        <v>0</v>
      </c>
      <c r="E49" s="6">
        <v>0</v>
      </c>
      <c r="F49" s="6">
        <v>0</v>
      </c>
      <c r="G49" t="s">
        <v>191</v>
      </c>
      <c r="H49" t="s">
        <v>192</v>
      </c>
    </row>
    <row r="50" spans="1:8" x14ac:dyDescent="0.25">
      <c r="A50" t="s">
        <v>193</v>
      </c>
      <c r="B50" t="s">
        <v>59</v>
      </c>
      <c r="C50" t="s">
        <v>176</v>
      </c>
      <c r="D50" s="6">
        <v>0</v>
      </c>
      <c r="E50" s="6">
        <v>0</v>
      </c>
      <c r="F50" s="6">
        <v>0</v>
      </c>
      <c r="G50" t="s">
        <v>191</v>
      </c>
      <c r="H50" t="s">
        <v>194</v>
      </c>
    </row>
    <row r="51" spans="1:8" x14ac:dyDescent="0.25">
      <c r="A51" t="s">
        <v>195</v>
      </c>
      <c r="B51" t="s">
        <v>196</v>
      </c>
      <c r="C51" t="s">
        <v>176</v>
      </c>
      <c r="D51" s="6">
        <v>0</v>
      </c>
      <c r="E51" s="6">
        <v>0</v>
      </c>
      <c r="F51" s="6">
        <v>0</v>
      </c>
      <c r="G51" t="s">
        <v>39</v>
      </c>
      <c r="H51" t="s">
        <v>197</v>
      </c>
    </row>
    <row r="52" spans="1:8" x14ac:dyDescent="0.25">
      <c r="A52" t="s">
        <v>198</v>
      </c>
      <c r="B52" t="s">
        <v>196</v>
      </c>
      <c r="C52" t="s">
        <v>176</v>
      </c>
      <c r="D52" s="6">
        <v>0</v>
      </c>
      <c r="E52" s="6">
        <v>0</v>
      </c>
      <c r="F52" s="6">
        <v>0</v>
      </c>
      <c r="G52" t="s">
        <v>22</v>
      </c>
      <c r="H52" t="s">
        <v>199</v>
      </c>
    </row>
    <row r="53" spans="1:8" x14ac:dyDescent="0.25">
      <c r="A53" t="s">
        <v>200</v>
      </c>
      <c r="B53" t="s">
        <v>201</v>
      </c>
      <c r="C53" t="s">
        <v>176</v>
      </c>
      <c r="D53" s="6">
        <v>0</v>
      </c>
      <c r="E53" s="6">
        <v>0</v>
      </c>
      <c r="F53" s="6">
        <v>0</v>
      </c>
      <c r="G53" t="s">
        <v>202</v>
      </c>
      <c r="H53" t="s">
        <v>59</v>
      </c>
    </row>
    <row r="54" spans="1:8" x14ac:dyDescent="0.25">
      <c r="A54" t="s">
        <v>203</v>
      </c>
      <c r="B54" t="s">
        <v>204</v>
      </c>
      <c r="C54" t="s">
        <v>176</v>
      </c>
      <c r="D54" s="6">
        <v>0.14299999999999999</v>
      </c>
      <c r="E54" s="6">
        <v>0</v>
      </c>
      <c r="F54" s="6">
        <v>0</v>
      </c>
      <c r="G54" t="s">
        <v>205</v>
      </c>
      <c r="H54" t="s">
        <v>59</v>
      </c>
    </row>
    <row r="55" spans="1:8" x14ac:dyDescent="0.25">
      <c r="A55" t="s">
        <v>206</v>
      </c>
      <c r="B55" t="s">
        <v>207</v>
      </c>
      <c r="C55" t="s">
        <v>176</v>
      </c>
      <c r="D55" s="6">
        <v>0.63900000000000001</v>
      </c>
      <c r="E55" s="6">
        <v>0</v>
      </c>
      <c r="F55" s="6">
        <v>0</v>
      </c>
      <c r="G55" t="s">
        <v>205</v>
      </c>
      <c r="H55" t="s">
        <v>59</v>
      </c>
    </row>
    <row r="56" spans="1:8" x14ac:dyDescent="0.25">
      <c r="A56" t="s">
        <v>208</v>
      </c>
      <c r="B56" t="s">
        <v>14</v>
      </c>
      <c r="C56" t="s">
        <v>176</v>
      </c>
      <c r="D56" s="6">
        <v>0</v>
      </c>
      <c r="E56" s="6">
        <v>0</v>
      </c>
      <c r="F56" s="6">
        <v>0</v>
      </c>
      <c r="G56" t="s">
        <v>59</v>
      </c>
      <c r="H56" t="s">
        <v>209</v>
      </c>
    </row>
    <row r="57" spans="1:8" x14ac:dyDescent="0.25">
      <c r="A57" t="s">
        <v>210</v>
      </c>
      <c r="B57" t="s">
        <v>14</v>
      </c>
      <c r="C57" t="s">
        <v>176</v>
      </c>
      <c r="D57" s="6">
        <v>0</v>
      </c>
      <c r="E57" s="6">
        <v>0</v>
      </c>
      <c r="F57" s="6">
        <v>0</v>
      </c>
      <c r="G57" t="s">
        <v>59</v>
      </c>
      <c r="H57" t="s">
        <v>211</v>
      </c>
    </row>
    <row r="58" spans="1:8" x14ac:dyDescent="0.25">
      <c r="A58" t="s">
        <v>212</v>
      </c>
      <c r="B58" t="s">
        <v>14</v>
      </c>
      <c r="C58" t="s">
        <v>15</v>
      </c>
      <c r="D58" s="9">
        <v>1.46868250539957</v>
      </c>
      <c r="E58" s="9">
        <v>3.4916768168899699</v>
      </c>
      <c r="F58" s="9">
        <v>2.7949183303085299</v>
      </c>
      <c r="G58" t="s">
        <v>59</v>
      </c>
      <c r="H58" t="s">
        <v>213</v>
      </c>
    </row>
    <row r="59" spans="1:8" x14ac:dyDescent="0.25">
      <c r="A59" t="s">
        <v>214</v>
      </c>
      <c r="B59" t="s">
        <v>14</v>
      </c>
      <c r="C59" t="s">
        <v>15</v>
      </c>
      <c r="D59" s="5">
        <v>4.3196544276457902E-2</v>
      </c>
      <c r="E59" s="5">
        <v>8.1201786439301704E-2</v>
      </c>
      <c r="F59" s="5">
        <v>0.29038112522685999</v>
      </c>
      <c r="G59" t="s">
        <v>59</v>
      </c>
      <c r="H59" t="s">
        <v>215</v>
      </c>
    </row>
    <row r="60" spans="1:8" x14ac:dyDescent="0.25">
      <c r="A60" t="s">
        <v>227</v>
      </c>
      <c r="B60" t="s">
        <v>207</v>
      </c>
      <c r="C60" t="s">
        <v>176</v>
      </c>
      <c r="D60" s="6">
        <v>0</v>
      </c>
      <c r="E60" s="6">
        <v>0</v>
      </c>
      <c r="F60" s="6">
        <v>0</v>
      </c>
      <c r="G60" t="s">
        <v>228</v>
      </c>
      <c r="H60" t="s">
        <v>59</v>
      </c>
    </row>
    <row r="61" spans="1:8" x14ac:dyDescent="0.25">
      <c r="A61" t="s">
        <v>229</v>
      </c>
      <c r="B61" t="s">
        <v>207</v>
      </c>
      <c r="C61" t="s">
        <v>176</v>
      </c>
      <c r="D61" s="6">
        <v>0</v>
      </c>
      <c r="E61" s="6">
        <v>0</v>
      </c>
      <c r="F61" s="6">
        <v>0</v>
      </c>
      <c r="G61" t="s">
        <v>228</v>
      </c>
      <c r="H61" t="s">
        <v>59</v>
      </c>
    </row>
    <row r="62" spans="1:8" x14ac:dyDescent="0.25">
      <c r="A62" t="s">
        <v>230</v>
      </c>
      <c r="B62" t="s">
        <v>207</v>
      </c>
      <c r="C62" t="s">
        <v>176</v>
      </c>
      <c r="D62" s="6">
        <v>0</v>
      </c>
      <c r="E62" s="6">
        <v>0</v>
      </c>
      <c r="F62" s="6">
        <v>0</v>
      </c>
      <c r="G62" t="s">
        <v>228</v>
      </c>
      <c r="H62" t="s">
        <v>59</v>
      </c>
    </row>
    <row r="63" spans="1:8" x14ac:dyDescent="0.25">
      <c r="A63" t="s">
        <v>231</v>
      </c>
      <c r="B63" t="s">
        <v>207</v>
      </c>
      <c r="C63" t="s">
        <v>176</v>
      </c>
      <c r="D63" s="6">
        <v>0</v>
      </c>
      <c r="E63" s="6">
        <v>0</v>
      </c>
      <c r="F63" s="6">
        <v>0</v>
      </c>
      <c r="G63" t="s">
        <v>228</v>
      </c>
      <c r="H63" t="s">
        <v>59</v>
      </c>
    </row>
    <row r="64" spans="1:8" x14ac:dyDescent="0.25">
      <c r="A64" t="s">
        <v>232</v>
      </c>
      <c r="B64" t="s">
        <v>207</v>
      </c>
      <c r="C64" t="s">
        <v>176</v>
      </c>
      <c r="D64" s="6">
        <v>0</v>
      </c>
      <c r="E64" s="6">
        <v>0</v>
      </c>
      <c r="F64" s="6">
        <v>0</v>
      </c>
      <c r="G64" t="s">
        <v>228</v>
      </c>
      <c r="H64" t="s">
        <v>59</v>
      </c>
    </row>
    <row r="65" spans="1:8" x14ac:dyDescent="0.25">
      <c r="A65" t="s">
        <v>233</v>
      </c>
      <c r="B65" t="s">
        <v>207</v>
      </c>
      <c r="C65" t="s">
        <v>176</v>
      </c>
      <c r="D65" s="6">
        <v>0</v>
      </c>
      <c r="E65" s="6">
        <v>0</v>
      </c>
      <c r="F65" s="6">
        <v>0</v>
      </c>
      <c r="G65" t="s">
        <v>228</v>
      </c>
      <c r="H65" t="s">
        <v>59</v>
      </c>
    </row>
    <row r="66" spans="1:8" x14ac:dyDescent="0.25">
      <c r="A66" t="s">
        <v>234</v>
      </c>
      <c r="B66" t="s">
        <v>207</v>
      </c>
      <c r="C66" t="s">
        <v>176</v>
      </c>
      <c r="D66" s="6">
        <v>0</v>
      </c>
      <c r="E66" s="6">
        <v>0</v>
      </c>
      <c r="F66" s="6">
        <v>0</v>
      </c>
      <c r="G66" t="s">
        <v>228</v>
      </c>
      <c r="H66" t="s">
        <v>59</v>
      </c>
    </row>
    <row r="67" spans="1:8" x14ac:dyDescent="0.25">
      <c r="A67" t="s">
        <v>235</v>
      </c>
      <c r="B67" t="s">
        <v>207</v>
      </c>
      <c r="C67" t="s">
        <v>176</v>
      </c>
      <c r="D67" s="6">
        <v>0</v>
      </c>
      <c r="E67" s="6">
        <v>0</v>
      </c>
      <c r="F67" s="6">
        <v>0</v>
      </c>
      <c r="G67" t="s">
        <v>228</v>
      </c>
      <c r="H67" t="s">
        <v>59</v>
      </c>
    </row>
    <row r="68" spans="1:8" x14ac:dyDescent="0.25">
      <c r="A68" t="s">
        <v>236</v>
      </c>
      <c r="B68" t="s">
        <v>207</v>
      </c>
      <c r="C68" t="s">
        <v>176</v>
      </c>
      <c r="D68" s="6">
        <v>0</v>
      </c>
      <c r="E68" s="6">
        <v>0</v>
      </c>
      <c r="F68" s="6">
        <v>0</v>
      </c>
      <c r="G68" t="s">
        <v>228</v>
      </c>
      <c r="H68" t="s">
        <v>59</v>
      </c>
    </row>
    <row r="69" spans="1:8" x14ac:dyDescent="0.25">
      <c r="A69" t="s">
        <v>237</v>
      </c>
      <c r="B69" t="s">
        <v>207</v>
      </c>
      <c r="C69" t="s">
        <v>176</v>
      </c>
      <c r="D69" s="6">
        <v>0</v>
      </c>
      <c r="E69" s="6">
        <v>0</v>
      </c>
      <c r="F69" s="6">
        <v>0</v>
      </c>
      <c r="G69" t="s">
        <v>228</v>
      </c>
      <c r="H69" t="s">
        <v>59</v>
      </c>
    </row>
    <row r="70" spans="1:8" x14ac:dyDescent="0.25">
      <c r="A70" t="s">
        <v>238</v>
      </c>
      <c r="B70" t="s">
        <v>207</v>
      </c>
      <c r="C70" t="s">
        <v>176</v>
      </c>
      <c r="D70" s="6">
        <v>0</v>
      </c>
      <c r="E70" s="6">
        <v>0</v>
      </c>
      <c r="F70" s="6">
        <v>0</v>
      </c>
      <c r="G70" t="s">
        <v>228</v>
      </c>
      <c r="H70" t="s">
        <v>59</v>
      </c>
    </row>
    <row r="71" spans="1:8" x14ac:dyDescent="0.25">
      <c r="A71" t="s">
        <v>239</v>
      </c>
      <c r="B71" t="s">
        <v>207</v>
      </c>
      <c r="C71" t="s">
        <v>176</v>
      </c>
      <c r="D71" s="6">
        <v>0</v>
      </c>
      <c r="E71" s="6">
        <v>0</v>
      </c>
      <c r="F71" s="6">
        <v>0</v>
      </c>
      <c r="G71" t="s">
        <v>228</v>
      </c>
      <c r="H71" t="s">
        <v>59</v>
      </c>
    </row>
    <row r="72" spans="1:8" x14ac:dyDescent="0.25">
      <c r="A72" t="s">
        <v>240</v>
      </c>
      <c r="B72" t="s">
        <v>59</v>
      </c>
      <c r="C72" t="s">
        <v>90</v>
      </c>
      <c r="D72" s="10" t="str">
        <f>[1]儿童康复科!$O$4</f>
        <v>脑损伤综合症</v>
      </c>
      <c r="E72" s="10" t="str">
        <f>[1]儿童康复科!$I$4</f>
        <v>脑损伤综合症</v>
      </c>
      <c r="F72" s="10" t="str">
        <f>[1]儿童康复科!$C$4</f>
        <v>脑损伤综合症</v>
      </c>
      <c r="G72" t="s">
        <v>59</v>
      </c>
      <c r="H72" t="s">
        <v>59</v>
      </c>
    </row>
    <row r="73" spans="1:8" x14ac:dyDescent="0.25">
      <c r="A73" t="s">
        <v>241</v>
      </c>
      <c r="B73" t="s">
        <v>59</v>
      </c>
      <c r="C73" t="s">
        <v>90</v>
      </c>
      <c r="D73" s="10" t="str">
        <f>[1]儿童康复科!$N$4</f>
        <v>G93.40000</v>
      </c>
      <c r="E73" s="10" t="str">
        <f>[1]儿童康复科!$H$4</f>
        <v>G93.40000</v>
      </c>
      <c r="F73" s="10" t="str">
        <f>[1]儿童康复科!$B$4</f>
        <v>G93.40000</v>
      </c>
      <c r="G73" t="s">
        <v>59</v>
      </c>
      <c r="H73" t="s">
        <v>59</v>
      </c>
    </row>
    <row r="74" spans="1:8" x14ac:dyDescent="0.25">
      <c r="A74" t="s">
        <v>242</v>
      </c>
      <c r="B74" t="s">
        <v>14</v>
      </c>
      <c r="C74" t="s">
        <v>90</v>
      </c>
      <c r="D74" s="10">
        <f>[1]儿童康复科!$Q$4</f>
        <v>45.831533477321798</v>
      </c>
      <c r="E74" s="10">
        <f>[1]儿童康复科!$K$4</f>
        <v>53.390174583840803</v>
      </c>
      <c r="F74" s="10">
        <f>[1]儿童康复科!$E$4</f>
        <v>67.114337568058104</v>
      </c>
      <c r="G74" t="s">
        <v>59</v>
      </c>
      <c r="H74" t="s">
        <v>59</v>
      </c>
    </row>
    <row r="75" spans="1:8" x14ac:dyDescent="0.25">
      <c r="A75" t="s">
        <v>243</v>
      </c>
      <c r="B75" t="s">
        <v>59</v>
      </c>
      <c r="C75" t="s">
        <v>90</v>
      </c>
      <c r="D75" s="10" t="str">
        <f>[1]儿童康复科!$O$5</f>
        <v>言语和语言发育障碍</v>
      </c>
      <c r="E75" s="10" t="str">
        <f>[1]儿童康复科!$I$5</f>
        <v>言语和语言发育障碍</v>
      </c>
      <c r="F75" s="10" t="str">
        <f>[1]儿童康复科!$C$5</f>
        <v>言语和语言发育障碍</v>
      </c>
      <c r="G75" t="s">
        <v>59</v>
      </c>
      <c r="H75" t="s">
        <v>59</v>
      </c>
    </row>
    <row r="76" spans="1:8" x14ac:dyDescent="0.25">
      <c r="A76" t="s">
        <v>244</v>
      </c>
      <c r="B76" t="s">
        <v>59</v>
      </c>
      <c r="C76" t="s">
        <v>90</v>
      </c>
      <c r="D76" s="10" t="str">
        <f>[1]儿童康复科!$N$5</f>
        <v>F80.900</v>
      </c>
      <c r="E76" s="10" t="str">
        <f>[1]儿童康复科!$H$5</f>
        <v>F80.900</v>
      </c>
      <c r="F76" s="10" t="str">
        <f>[1]儿童康复科!$B$5</f>
        <v>F79.900</v>
      </c>
      <c r="G76" t="s">
        <v>59</v>
      </c>
      <c r="H76" t="s">
        <v>59</v>
      </c>
    </row>
    <row r="77" spans="1:8" x14ac:dyDescent="0.25">
      <c r="A77" t="s">
        <v>245</v>
      </c>
      <c r="B77" t="s">
        <v>14</v>
      </c>
      <c r="C77" t="s">
        <v>90</v>
      </c>
      <c r="D77" s="10">
        <f>[1]儿童康复科!$Q$5</f>
        <v>42.937365010799098</v>
      </c>
      <c r="E77" s="10">
        <f>[1]儿童康复科!$K$5</f>
        <v>35.566382460414097</v>
      </c>
      <c r="F77" s="10">
        <f>[1]儿童康复科!$E$5</f>
        <v>20.762250453720501</v>
      </c>
      <c r="G77" t="s">
        <v>59</v>
      </c>
      <c r="H77" t="s">
        <v>59</v>
      </c>
    </row>
    <row r="78" spans="1:8" x14ac:dyDescent="0.25">
      <c r="A78" t="s">
        <v>246</v>
      </c>
      <c r="B78" t="s">
        <v>59</v>
      </c>
      <c r="C78" t="s">
        <v>90</v>
      </c>
      <c r="D78" s="10" t="str">
        <f>[1]儿童康复科!$O$6</f>
        <v>大脑性瘫痪［脑瘫］</v>
      </c>
      <c r="E78" s="10" t="str">
        <f>[1]儿童康复科!$I$6</f>
        <v>大脑性瘫痪[脑瘫]</v>
      </c>
      <c r="F78" s="10" t="str">
        <f>[1]儿童康复科!$C$6</f>
        <v>大脑性瘫痪[脑瘫]</v>
      </c>
      <c r="G78" t="s">
        <v>59</v>
      </c>
      <c r="H78" t="s">
        <v>59</v>
      </c>
    </row>
    <row r="79" spans="1:8" x14ac:dyDescent="0.25">
      <c r="A79" t="s">
        <v>247</v>
      </c>
      <c r="B79" t="s">
        <v>59</v>
      </c>
      <c r="C79" t="s">
        <v>90</v>
      </c>
      <c r="D79" s="10" t="str">
        <f>[1]儿童康复科!$N$6</f>
        <v>G80.900</v>
      </c>
      <c r="E79" s="10" t="str">
        <f>[1]儿童康复科!$H$6</f>
        <v>G80.900</v>
      </c>
      <c r="F79" s="10" t="str">
        <f>[1]儿童康复科!$B$6</f>
        <v>G80.900</v>
      </c>
      <c r="G79" t="s">
        <v>59</v>
      </c>
      <c r="H79" t="s">
        <v>59</v>
      </c>
    </row>
    <row r="80" spans="1:8" x14ac:dyDescent="0.25">
      <c r="A80" t="s">
        <v>248</v>
      </c>
      <c r="B80" t="s">
        <v>14</v>
      </c>
      <c r="C80" t="s">
        <v>90</v>
      </c>
      <c r="D80" s="10">
        <f>[1]儿童康复科!$Q$6</f>
        <v>11.1879049676026</v>
      </c>
      <c r="E80" s="10">
        <f>[1]儿童康复科!$K$6</f>
        <v>10.9216402760861</v>
      </c>
      <c r="F80" s="10">
        <f>[1]儿童康复科!$E$6</f>
        <v>10.6715063520871</v>
      </c>
      <c r="G80" t="s">
        <v>59</v>
      </c>
      <c r="H80" t="s">
        <v>59</v>
      </c>
    </row>
    <row r="81" spans="1:8" x14ac:dyDescent="0.25">
      <c r="A81" t="s">
        <v>249</v>
      </c>
      <c r="B81" t="s">
        <v>59</v>
      </c>
      <c r="C81" t="s">
        <v>90</v>
      </c>
      <c r="D81" s="10">
        <f>[1]儿童康复科!$O$7</f>
        <v>0</v>
      </c>
      <c r="E81" s="10" t="str">
        <f>[1]儿童康复科!$I$7</f>
        <v>童年孤独症</v>
      </c>
      <c r="F81" s="10" t="str">
        <f>[1]儿童康复科!$C$7</f>
        <v>童年孤独症</v>
      </c>
      <c r="G81" t="s">
        <v>59</v>
      </c>
      <c r="H81" t="s">
        <v>59</v>
      </c>
    </row>
    <row r="82" spans="1:8" x14ac:dyDescent="0.25">
      <c r="A82" t="s">
        <v>250</v>
      </c>
      <c r="B82" t="s">
        <v>59</v>
      </c>
      <c r="C82" t="s">
        <v>90</v>
      </c>
      <c r="D82" s="10">
        <f>[1]儿童康复科!$N$7</f>
        <v>0</v>
      </c>
      <c r="E82" s="10" t="str">
        <f>[1]儿童康复科!$H$7</f>
        <v>F84.000</v>
      </c>
      <c r="F82" s="10" t="str">
        <f>[1]儿童康复科!$B$7</f>
        <v>F84.000</v>
      </c>
      <c r="G82" t="s">
        <v>59</v>
      </c>
      <c r="H82" t="s">
        <v>59</v>
      </c>
    </row>
    <row r="83" spans="1:8" x14ac:dyDescent="0.25">
      <c r="A83" t="s">
        <v>251</v>
      </c>
      <c r="B83" t="s">
        <v>14</v>
      </c>
      <c r="C83" t="s">
        <v>90</v>
      </c>
      <c r="D83" s="10">
        <f>[1]儿童康复科!$Q$7</f>
        <v>0</v>
      </c>
      <c r="E83" s="10">
        <f>[1]儿童康复科!$K$7</f>
        <v>4.0600893219650797E-2</v>
      </c>
      <c r="F83" s="10">
        <f>[1]儿童康复科!$E$7</f>
        <v>0.90744101633393803</v>
      </c>
      <c r="G83" t="s">
        <v>59</v>
      </c>
      <c r="H83" t="s">
        <v>59</v>
      </c>
    </row>
    <row r="84" spans="1:8" x14ac:dyDescent="0.25">
      <c r="A84" t="s">
        <v>252</v>
      </c>
      <c r="B84" t="s">
        <v>59</v>
      </c>
      <c r="C84" t="s">
        <v>90</v>
      </c>
      <c r="D84" s="10">
        <f>[1]儿童康复科!$O$8</f>
        <v>0</v>
      </c>
      <c r="E84" s="10">
        <f>[1]儿童康复科!$I$8</f>
        <v>0</v>
      </c>
      <c r="F84" s="10">
        <f>[1]儿童康复科!$C$8</f>
        <v>0</v>
      </c>
      <c r="G84" t="s">
        <v>59</v>
      </c>
      <c r="H84" t="s">
        <v>59</v>
      </c>
    </row>
    <row r="85" spans="1:8" x14ac:dyDescent="0.25">
      <c r="A85" t="s">
        <v>253</v>
      </c>
      <c r="B85" t="s">
        <v>59</v>
      </c>
      <c r="C85" t="s">
        <v>90</v>
      </c>
      <c r="D85" s="10">
        <f>[1]儿童康复科!$N$8</f>
        <v>0</v>
      </c>
      <c r="E85" s="10">
        <f>[1]儿童康复科!$H$8</f>
        <v>0</v>
      </c>
      <c r="F85" s="10">
        <f>[1]儿童康复科!$B$8</f>
        <v>0</v>
      </c>
      <c r="G85" t="s">
        <v>59</v>
      </c>
      <c r="H85" t="s">
        <v>59</v>
      </c>
    </row>
    <row r="86" spans="1:8" x14ac:dyDescent="0.25">
      <c r="A86" t="s">
        <v>254</v>
      </c>
      <c r="B86" t="s">
        <v>14</v>
      </c>
      <c r="C86" t="s">
        <v>90</v>
      </c>
      <c r="D86" s="10">
        <f>[1]儿童康复科!$Q$8</f>
        <v>0</v>
      </c>
      <c r="E86" s="10">
        <f>[1]儿童康复科!$K$8</f>
        <v>0</v>
      </c>
      <c r="F86" s="10">
        <f>[1]儿童康复科!$E$8</f>
        <v>0</v>
      </c>
      <c r="G86" t="s">
        <v>59</v>
      </c>
      <c r="H86" t="s">
        <v>59</v>
      </c>
    </row>
    <row r="87" spans="1:8" x14ac:dyDescent="0.25">
      <c r="A87" t="s">
        <v>255</v>
      </c>
      <c r="B87" t="s">
        <v>59</v>
      </c>
      <c r="C87" t="s">
        <v>90</v>
      </c>
      <c r="E87" t="s">
        <v>59</v>
      </c>
      <c r="F87" t="s">
        <v>59</v>
      </c>
      <c r="G87" t="s">
        <v>59</v>
      </c>
      <c r="H87" t="s">
        <v>59</v>
      </c>
    </row>
    <row r="88" spans="1:8" x14ac:dyDescent="0.25">
      <c r="A88" t="s">
        <v>256</v>
      </c>
      <c r="B88" t="s">
        <v>59</v>
      </c>
      <c r="C88" t="s">
        <v>90</v>
      </c>
      <c r="E88" t="s">
        <v>59</v>
      </c>
      <c r="F88" t="s">
        <v>59</v>
      </c>
      <c r="G88" t="s">
        <v>59</v>
      </c>
      <c r="H88" t="s">
        <v>59</v>
      </c>
    </row>
    <row r="89" spans="1:8" x14ac:dyDescent="0.25">
      <c r="A89" t="s">
        <v>257</v>
      </c>
      <c r="B89" t="s">
        <v>14</v>
      </c>
      <c r="C89" t="s">
        <v>90</v>
      </c>
      <c r="E89" t="s">
        <v>59</v>
      </c>
      <c r="F89" t="s">
        <v>59</v>
      </c>
      <c r="G89" t="s">
        <v>59</v>
      </c>
      <c r="H89" t="s">
        <v>59</v>
      </c>
    </row>
    <row r="90" spans="1:8" x14ac:dyDescent="0.25">
      <c r="A90" t="s">
        <v>258</v>
      </c>
      <c r="B90" t="s">
        <v>59</v>
      </c>
      <c r="C90" t="s">
        <v>90</v>
      </c>
      <c r="E90" t="s">
        <v>59</v>
      </c>
      <c r="F90" t="s">
        <v>59</v>
      </c>
      <c r="G90" t="s">
        <v>59</v>
      </c>
      <c r="H90" t="s">
        <v>59</v>
      </c>
    </row>
    <row r="91" spans="1:8" x14ac:dyDescent="0.25">
      <c r="A91" t="s">
        <v>259</v>
      </c>
      <c r="B91" t="s">
        <v>59</v>
      </c>
      <c r="C91" t="s">
        <v>90</v>
      </c>
      <c r="E91" t="s">
        <v>59</v>
      </c>
      <c r="F91" t="s">
        <v>59</v>
      </c>
      <c r="G91" t="s">
        <v>59</v>
      </c>
      <c r="H91" t="s">
        <v>59</v>
      </c>
    </row>
    <row r="92" spans="1:8" x14ac:dyDescent="0.25">
      <c r="A92" t="s">
        <v>260</v>
      </c>
      <c r="B92" t="s">
        <v>14</v>
      </c>
      <c r="C92" t="s">
        <v>90</v>
      </c>
      <c r="E92" t="s">
        <v>59</v>
      </c>
      <c r="F92" t="s">
        <v>59</v>
      </c>
      <c r="G92" t="s">
        <v>59</v>
      </c>
      <c r="H92" t="s">
        <v>59</v>
      </c>
    </row>
    <row r="93" spans="1:8" x14ac:dyDescent="0.25">
      <c r="A93" t="s">
        <v>261</v>
      </c>
      <c r="B93" t="s">
        <v>59</v>
      </c>
      <c r="C93" t="s">
        <v>90</v>
      </c>
      <c r="E93" t="s">
        <v>59</v>
      </c>
      <c r="F93" t="s">
        <v>59</v>
      </c>
      <c r="G93" t="s">
        <v>59</v>
      </c>
      <c r="H93" t="s">
        <v>59</v>
      </c>
    </row>
    <row r="94" spans="1:8" x14ac:dyDescent="0.25">
      <c r="A94" t="s">
        <v>262</v>
      </c>
      <c r="B94" t="s">
        <v>59</v>
      </c>
      <c r="C94" t="s">
        <v>90</v>
      </c>
      <c r="E94" t="s">
        <v>59</v>
      </c>
      <c r="F94" t="s">
        <v>59</v>
      </c>
      <c r="G94" t="s">
        <v>59</v>
      </c>
      <c r="H94" t="s">
        <v>59</v>
      </c>
    </row>
    <row r="95" spans="1:8" x14ac:dyDescent="0.25">
      <c r="A95" t="s">
        <v>263</v>
      </c>
      <c r="B95" t="s">
        <v>14</v>
      </c>
      <c r="C95" t="s">
        <v>90</v>
      </c>
      <c r="E95" t="s">
        <v>59</v>
      </c>
      <c r="F95" t="s">
        <v>59</v>
      </c>
      <c r="G95" t="s">
        <v>59</v>
      </c>
      <c r="H95" t="s">
        <v>59</v>
      </c>
    </row>
    <row r="96" spans="1:8" x14ac:dyDescent="0.25">
      <c r="A96" t="s">
        <v>264</v>
      </c>
      <c r="B96" t="s">
        <v>59</v>
      </c>
      <c r="C96" t="s">
        <v>90</v>
      </c>
      <c r="D96" t="s">
        <v>59</v>
      </c>
      <c r="E96" t="s">
        <v>59</v>
      </c>
      <c r="F96" t="s">
        <v>59</v>
      </c>
      <c r="G96" t="s">
        <v>59</v>
      </c>
      <c r="H96" t="s">
        <v>59</v>
      </c>
    </row>
    <row r="97" spans="1:8" x14ac:dyDescent="0.25">
      <c r="A97" t="s">
        <v>265</v>
      </c>
      <c r="B97" t="s">
        <v>59</v>
      </c>
      <c r="C97" t="s">
        <v>90</v>
      </c>
      <c r="D97" t="s">
        <v>59</v>
      </c>
      <c r="E97" t="s">
        <v>59</v>
      </c>
      <c r="F97" t="s">
        <v>59</v>
      </c>
      <c r="G97" t="s">
        <v>59</v>
      </c>
      <c r="H97" t="s">
        <v>59</v>
      </c>
    </row>
    <row r="98" spans="1:8" x14ac:dyDescent="0.25">
      <c r="A98" t="s">
        <v>266</v>
      </c>
      <c r="B98" t="s">
        <v>14</v>
      </c>
      <c r="C98" t="s">
        <v>90</v>
      </c>
      <c r="D98" t="s">
        <v>59</v>
      </c>
      <c r="E98" t="s">
        <v>59</v>
      </c>
      <c r="F98" t="s">
        <v>59</v>
      </c>
      <c r="G98" t="s">
        <v>59</v>
      </c>
      <c r="H98" t="s">
        <v>59</v>
      </c>
    </row>
    <row r="99" spans="1:8" x14ac:dyDescent="0.25">
      <c r="A99" t="s">
        <v>267</v>
      </c>
      <c r="B99" t="s">
        <v>59</v>
      </c>
      <c r="C99" t="s">
        <v>90</v>
      </c>
      <c r="D99" t="s">
        <v>59</v>
      </c>
      <c r="E99" t="s">
        <v>59</v>
      </c>
      <c r="F99" t="s">
        <v>59</v>
      </c>
      <c r="G99" t="s">
        <v>59</v>
      </c>
      <c r="H99" t="s">
        <v>59</v>
      </c>
    </row>
    <row r="100" spans="1:8" x14ac:dyDescent="0.25">
      <c r="A100" t="s">
        <v>268</v>
      </c>
      <c r="B100" t="s">
        <v>59</v>
      </c>
      <c r="C100" t="s">
        <v>90</v>
      </c>
      <c r="D100" t="s">
        <v>59</v>
      </c>
      <c r="E100" t="s">
        <v>59</v>
      </c>
      <c r="F100" t="s">
        <v>59</v>
      </c>
      <c r="G100" t="s">
        <v>59</v>
      </c>
      <c r="H100" t="s">
        <v>59</v>
      </c>
    </row>
    <row r="101" spans="1:8" x14ac:dyDescent="0.25">
      <c r="A101" t="s">
        <v>269</v>
      </c>
      <c r="B101" t="s">
        <v>14</v>
      </c>
      <c r="C101" t="s">
        <v>90</v>
      </c>
      <c r="D101" t="s">
        <v>59</v>
      </c>
      <c r="E101" t="s">
        <v>59</v>
      </c>
      <c r="F101" t="s">
        <v>59</v>
      </c>
      <c r="G101" t="s">
        <v>59</v>
      </c>
      <c r="H101" t="s">
        <v>59</v>
      </c>
    </row>
  </sheetData>
  <phoneticPr fontId="10" type="noConversion"/>
  <pageMargins left="0.69930555555555596" right="0.69930555555555596" top="0.75" bottom="0.75" header="0.3" footer="0.3"/>
  <ignoredErrors>
    <ignoredError sqref="A2:B31 G2:H31 E87:H95 D96:H101 G34:H86 A34:B101 A1:H1"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H101"/>
  <sheetViews>
    <sheetView topLeftCell="A19" workbookViewId="0">
      <selection activeCell="G35" sqref="G35"/>
    </sheetView>
  </sheetViews>
  <sheetFormatPr defaultColWidth="9" defaultRowHeight="15" x14ac:dyDescent="0.25"/>
  <cols>
    <col min="1" max="1" width="28" customWidth="1"/>
    <col min="2" max="2" width="11" customWidth="1"/>
    <col min="3" max="3" width="9" customWidth="1"/>
    <col min="4" max="6" width="10" style="1" customWidth="1"/>
    <col min="7" max="7" width="70" customWidth="1"/>
    <col min="8" max="8" width="54" customWidth="1"/>
  </cols>
  <sheetData>
    <row r="1" spans="1:8" x14ac:dyDescent="0.25">
      <c r="A1" t="s">
        <v>0</v>
      </c>
      <c r="B1" t="s">
        <v>1</v>
      </c>
      <c r="C1" t="s">
        <v>2</v>
      </c>
      <c r="D1" s="1" t="s">
        <v>3</v>
      </c>
      <c r="E1" s="1" t="s">
        <v>4</v>
      </c>
      <c r="F1" s="1" t="s">
        <v>5</v>
      </c>
      <c r="G1" t="s">
        <v>6</v>
      </c>
      <c r="H1" t="s">
        <v>7</v>
      </c>
    </row>
    <row r="2" spans="1:8" x14ac:dyDescent="0.25">
      <c r="A2" t="s">
        <v>13</v>
      </c>
      <c r="B2" t="s">
        <v>14</v>
      </c>
      <c r="C2" t="s">
        <v>59</v>
      </c>
      <c r="D2" s="2"/>
      <c r="E2" s="2"/>
      <c r="F2" s="2"/>
      <c r="G2" t="s">
        <v>16</v>
      </c>
      <c r="H2" t="s">
        <v>17</v>
      </c>
    </row>
    <row r="3" spans="1:8" x14ac:dyDescent="0.25">
      <c r="A3" t="s">
        <v>18</v>
      </c>
      <c r="B3" t="s">
        <v>14</v>
      </c>
      <c r="C3" t="s">
        <v>59</v>
      </c>
      <c r="D3" s="2"/>
      <c r="E3" s="2"/>
      <c r="F3" s="2"/>
      <c r="G3" t="s">
        <v>19</v>
      </c>
      <c r="H3" t="s">
        <v>20</v>
      </c>
    </row>
    <row r="4" spans="1:8" x14ac:dyDescent="0.25">
      <c r="A4" t="s">
        <v>21</v>
      </c>
      <c r="B4" t="s">
        <v>14</v>
      </c>
      <c r="C4" t="s">
        <v>59</v>
      </c>
      <c r="D4" s="2"/>
      <c r="E4" s="2"/>
      <c r="F4" s="2"/>
      <c r="G4" t="s">
        <v>22</v>
      </c>
      <c r="H4" t="s">
        <v>23</v>
      </c>
    </row>
    <row r="5" spans="1:8" x14ac:dyDescent="0.25">
      <c r="A5" t="s">
        <v>24</v>
      </c>
      <c r="B5" t="s">
        <v>14</v>
      </c>
      <c r="C5" t="s">
        <v>59</v>
      </c>
      <c r="D5" s="2"/>
      <c r="E5" s="2"/>
      <c r="F5" s="2"/>
      <c r="G5" t="s">
        <v>25</v>
      </c>
      <c r="H5" t="s">
        <v>26</v>
      </c>
    </row>
    <row r="6" spans="1:8" x14ac:dyDescent="0.25">
      <c r="A6" t="s">
        <v>33</v>
      </c>
      <c r="B6" t="s">
        <v>14</v>
      </c>
      <c r="C6" t="s">
        <v>59</v>
      </c>
      <c r="D6" s="2"/>
      <c r="E6" s="2"/>
      <c r="F6" s="2"/>
      <c r="G6" t="s">
        <v>35</v>
      </c>
      <c r="H6" t="s">
        <v>36</v>
      </c>
    </row>
    <row r="7" spans="1:8" x14ac:dyDescent="0.25">
      <c r="A7" t="s">
        <v>37</v>
      </c>
      <c r="B7" t="s">
        <v>14</v>
      </c>
      <c r="C7" t="s">
        <v>59</v>
      </c>
      <c r="D7" s="2"/>
      <c r="E7" s="2"/>
      <c r="F7" s="2"/>
      <c r="G7" t="s">
        <v>39</v>
      </c>
      <c r="H7" t="s">
        <v>40</v>
      </c>
    </row>
    <row r="8" spans="1:8" x14ac:dyDescent="0.25">
      <c r="A8" t="s">
        <v>41</v>
      </c>
      <c r="B8" t="s">
        <v>14</v>
      </c>
      <c r="C8" t="s">
        <v>59</v>
      </c>
      <c r="D8" s="2"/>
      <c r="E8" s="2"/>
      <c r="F8" s="2"/>
      <c r="G8" t="s">
        <v>39</v>
      </c>
      <c r="H8" t="s">
        <v>44</v>
      </c>
    </row>
    <row r="9" spans="1:8" x14ac:dyDescent="0.25">
      <c r="A9" t="s">
        <v>51</v>
      </c>
      <c r="B9" t="s">
        <v>14</v>
      </c>
      <c r="C9" t="s">
        <v>59</v>
      </c>
      <c r="D9" s="2"/>
      <c r="E9" s="2"/>
      <c r="F9" s="2"/>
      <c r="G9" t="s">
        <v>19</v>
      </c>
      <c r="H9" t="s">
        <v>52</v>
      </c>
    </row>
    <row r="10" spans="1:8" x14ac:dyDescent="0.25">
      <c r="A10" t="s">
        <v>57</v>
      </c>
      <c r="B10" t="s">
        <v>14</v>
      </c>
      <c r="C10" t="s">
        <v>59</v>
      </c>
      <c r="D10" s="2"/>
      <c r="E10" s="2"/>
      <c r="F10" s="2"/>
      <c r="G10" t="s">
        <v>58</v>
      </c>
      <c r="H10" t="s">
        <v>59</v>
      </c>
    </row>
    <row r="11" spans="1:8" x14ac:dyDescent="0.25">
      <c r="A11" t="s">
        <v>63</v>
      </c>
      <c r="B11" t="s">
        <v>64</v>
      </c>
      <c r="C11" t="s">
        <v>59</v>
      </c>
      <c r="D11" s="2"/>
      <c r="E11" s="2"/>
      <c r="F11" s="2"/>
      <c r="G11" t="s">
        <v>35</v>
      </c>
      <c r="H11" t="s">
        <v>65</v>
      </c>
    </row>
    <row r="12" spans="1:8" x14ac:dyDescent="0.25">
      <c r="A12" t="s">
        <v>66</v>
      </c>
      <c r="B12" t="s">
        <v>14</v>
      </c>
      <c r="C12" t="s">
        <v>59</v>
      </c>
      <c r="D12" s="2">
        <v>62.01</v>
      </c>
      <c r="E12" s="2">
        <v>58.13</v>
      </c>
      <c r="F12" s="2">
        <v>49.82</v>
      </c>
      <c r="G12" t="s">
        <v>39</v>
      </c>
      <c r="H12" t="s">
        <v>67</v>
      </c>
    </row>
    <row r="13" spans="1:8" x14ac:dyDescent="0.25">
      <c r="A13" t="s">
        <v>68</v>
      </c>
      <c r="B13" t="s">
        <v>14</v>
      </c>
      <c r="C13" t="s">
        <v>59</v>
      </c>
      <c r="D13" s="2"/>
      <c r="E13" s="2"/>
      <c r="F13" s="2"/>
      <c r="G13" t="s">
        <v>39</v>
      </c>
      <c r="H13" t="s">
        <v>69</v>
      </c>
    </row>
    <row r="14" spans="1:8" x14ac:dyDescent="0.25">
      <c r="A14" t="s">
        <v>74</v>
      </c>
      <c r="B14" t="s">
        <v>14</v>
      </c>
      <c r="C14" t="s">
        <v>59</v>
      </c>
      <c r="D14" s="2"/>
      <c r="E14" s="2"/>
      <c r="F14" s="2"/>
      <c r="G14" t="s">
        <v>35</v>
      </c>
      <c r="H14" t="s">
        <v>76</v>
      </c>
    </row>
    <row r="15" spans="1:8" x14ac:dyDescent="0.25">
      <c r="A15" t="s">
        <v>91</v>
      </c>
      <c r="B15" t="s">
        <v>92</v>
      </c>
      <c r="C15" t="s">
        <v>59</v>
      </c>
      <c r="D15" s="2"/>
      <c r="E15" s="2"/>
      <c r="F15" s="2"/>
      <c r="G15" t="s">
        <v>93</v>
      </c>
      <c r="H15" t="s">
        <v>94</v>
      </c>
    </row>
    <row r="16" spans="1:8" x14ac:dyDescent="0.25">
      <c r="A16" t="s">
        <v>95</v>
      </c>
      <c r="B16" t="s">
        <v>59</v>
      </c>
      <c r="C16" t="s">
        <v>59</v>
      </c>
      <c r="D16" s="2"/>
      <c r="E16" s="2"/>
      <c r="F16" s="2"/>
      <c r="G16" t="s">
        <v>96</v>
      </c>
      <c r="H16" t="s">
        <v>59</v>
      </c>
    </row>
    <row r="17" spans="1:8" x14ac:dyDescent="0.25">
      <c r="A17" t="s">
        <v>97</v>
      </c>
      <c r="B17" t="s">
        <v>98</v>
      </c>
      <c r="C17" t="s">
        <v>59</v>
      </c>
      <c r="D17" s="2"/>
      <c r="E17" s="2"/>
      <c r="F17" s="2"/>
      <c r="G17" t="s">
        <v>99</v>
      </c>
      <c r="H17" t="s">
        <v>59</v>
      </c>
    </row>
    <row r="18" spans="1:8" x14ac:dyDescent="0.25">
      <c r="A18" t="s">
        <v>104</v>
      </c>
      <c r="B18" t="s">
        <v>105</v>
      </c>
      <c r="C18" t="s">
        <v>59</v>
      </c>
      <c r="D18" s="2"/>
      <c r="E18" s="2"/>
      <c r="F18" s="2"/>
      <c r="G18" t="s">
        <v>58</v>
      </c>
      <c r="H18" t="s">
        <v>59</v>
      </c>
    </row>
    <row r="19" spans="1:8" x14ac:dyDescent="0.25">
      <c r="A19" t="s">
        <v>106</v>
      </c>
      <c r="B19" t="s">
        <v>105</v>
      </c>
      <c r="C19" t="s">
        <v>59</v>
      </c>
      <c r="D19" s="2"/>
      <c r="E19" s="2"/>
      <c r="F19" s="2"/>
      <c r="G19" t="s">
        <v>58</v>
      </c>
      <c r="H19" t="s">
        <v>59</v>
      </c>
    </row>
    <row r="20" spans="1:8" x14ac:dyDescent="0.25">
      <c r="A20" t="s">
        <v>107</v>
      </c>
      <c r="B20" t="s">
        <v>14</v>
      </c>
      <c r="C20" t="s">
        <v>59</v>
      </c>
      <c r="D20" s="2"/>
      <c r="E20" s="2"/>
      <c r="F20" s="2"/>
      <c r="G20" t="s">
        <v>58</v>
      </c>
      <c r="H20" t="s">
        <v>108</v>
      </c>
    </row>
    <row r="21" spans="1:8" x14ac:dyDescent="0.25">
      <c r="A21" t="s">
        <v>112</v>
      </c>
      <c r="B21" t="s">
        <v>59</v>
      </c>
      <c r="C21" t="s">
        <v>59</v>
      </c>
      <c r="D21" s="2"/>
      <c r="E21" s="2"/>
      <c r="F21" s="2"/>
      <c r="G21" t="s">
        <v>110</v>
      </c>
      <c r="H21" t="s">
        <v>113</v>
      </c>
    </row>
    <row r="22" spans="1:8" x14ac:dyDescent="0.25">
      <c r="A22" t="s">
        <v>114</v>
      </c>
      <c r="B22" t="s">
        <v>59</v>
      </c>
      <c r="C22" t="s">
        <v>59</v>
      </c>
      <c r="D22" s="2"/>
      <c r="E22" s="2"/>
      <c r="F22" s="2"/>
      <c r="G22" t="s">
        <v>110</v>
      </c>
      <c r="H22" t="s">
        <v>115</v>
      </c>
    </row>
    <row r="23" spans="1:8" x14ac:dyDescent="0.25">
      <c r="A23" t="s">
        <v>116</v>
      </c>
      <c r="B23" t="s">
        <v>117</v>
      </c>
      <c r="C23" t="s">
        <v>59</v>
      </c>
      <c r="D23" s="2"/>
      <c r="E23" s="2"/>
      <c r="F23" s="2"/>
      <c r="G23" t="s">
        <v>119</v>
      </c>
      <c r="H23" t="s">
        <v>59</v>
      </c>
    </row>
    <row r="24" spans="1:8" x14ac:dyDescent="0.25">
      <c r="A24" t="s">
        <v>120</v>
      </c>
      <c r="B24" t="s">
        <v>117</v>
      </c>
      <c r="C24" t="s">
        <v>59</v>
      </c>
      <c r="D24" s="2"/>
      <c r="E24" s="2"/>
      <c r="F24" s="2"/>
      <c r="G24" t="s">
        <v>121</v>
      </c>
      <c r="H24" t="s">
        <v>59</v>
      </c>
    </row>
    <row r="25" spans="1:8" x14ac:dyDescent="0.25">
      <c r="A25" t="s">
        <v>122</v>
      </c>
      <c r="B25" t="s">
        <v>117</v>
      </c>
      <c r="C25" t="s">
        <v>59</v>
      </c>
      <c r="D25" s="2"/>
      <c r="E25" s="2"/>
      <c r="F25" s="2"/>
      <c r="G25" t="s">
        <v>123</v>
      </c>
      <c r="H25" t="s">
        <v>59</v>
      </c>
    </row>
    <row r="26" spans="1:8" x14ac:dyDescent="0.25">
      <c r="A26" t="s">
        <v>124</v>
      </c>
      <c r="B26" t="s">
        <v>117</v>
      </c>
      <c r="C26" t="s">
        <v>59</v>
      </c>
      <c r="D26" s="2"/>
      <c r="E26" s="2"/>
      <c r="F26" s="2"/>
      <c r="G26" t="s">
        <v>125</v>
      </c>
      <c r="H26" t="s">
        <v>59</v>
      </c>
    </row>
    <row r="27" spans="1:8" x14ac:dyDescent="0.25">
      <c r="A27" t="s">
        <v>126</v>
      </c>
      <c r="B27" t="s">
        <v>127</v>
      </c>
      <c r="C27" t="s">
        <v>59</v>
      </c>
      <c r="D27" s="2"/>
      <c r="E27" s="2"/>
      <c r="F27" s="2"/>
      <c r="G27" t="s">
        <v>39</v>
      </c>
      <c r="H27" t="s">
        <v>128</v>
      </c>
    </row>
    <row r="28" spans="1:8" x14ac:dyDescent="0.25">
      <c r="A28" t="s">
        <v>129</v>
      </c>
      <c r="B28" t="s">
        <v>14</v>
      </c>
      <c r="C28" t="s">
        <v>59</v>
      </c>
      <c r="D28" s="2"/>
      <c r="E28" s="2"/>
      <c r="F28" s="2"/>
      <c r="G28" t="s">
        <v>130</v>
      </c>
      <c r="H28" t="s">
        <v>131</v>
      </c>
    </row>
    <row r="29" spans="1:8" x14ac:dyDescent="0.25">
      <c r="A29" t="s">
        <v>132</v>
      </c>
      <c r="B29" t="s">
        <v>117</v>
      </c>
      <c r="C29" t="s">
        <v>59</v>
      </c>
      <c r="D29" s="2">
        <v>2265.442094</v>
      </c>
      <c r="E29" s="2">
        <v>2111.490006</v>
      </c>
      <c r="F29" s="2">
        <v>1800.2905020000001</v>
      </c>
      <c r="G29" t="s">
        <v>59</v>
      </c>
      <c r="H29" t="s">
        <v>133</v>
      </c>
    </row>
    <row r="30" spans="1:8" x14ac:dyDescent="0.25">
      <c r="A30" t="s">
        <v>134</v>
      </c>
      <c r="B30" t="s">
        <v>117</v>
      </c>
      <c r="C30" t="s">
        <v>59</v>
      </c>
      <c r="D30" s="2"/>
      <c r="E30" s="2"/>
      <c r="F30" s="2"/>
      <c r="G30" t="s">
        <v>59</v>
      </c>
      <c r="H30" t="s">
        <v>59</v>
      </c>
    </row>
    <row r="31" spans="1:8" x14ac:dyDescent="0.25">
      <c r="A31" t="s">
        <v>135</v>
      </c>
      <c r="B31" t="s">
        <v>117</v>
      </c>
      <c r="C31" t="s">
        <v>59</v>
      </c>
      <c r="D31" s="2"/>
      <c r="E31" s="2"/>
      <c r="F31" s="2"/>
      <c r="G31" t="s">
        <v>59</v>
      </c>
      <c r="H31" t="s">
        <v>136</v>
      </c>
    </row>
    <row r="32" spans="1:8" x14ac:dyDescent="0.25">
      <c r="A32" t="s">
        <v>216</v>
      </c>
      <c r="B32" t="s">
        <v>117</v>
      </c>
      <c r="D32" s="3">
        <v>1542.71</v>
      </c>
      <c r="E32" s="3">
        <v>1367.78</v>
      </c>
      <c r="F32" s="3">
        <v>1349.08</v>
      </c>
    </row>
    <row r="33" spans="1:8" x14ac:dyDescent="0.25">
      <c r="A33" t="s">
        <v>143</v>
      </c>
      <c r="B33" t="s">
        <v>14</v>
      </c>
      <c r="D33" s="4"/>
      <c r="E33" s="4"/>
      <c r="F33" s="4"/>
    </row>
    <row r="34" spans="1:8" x14ac:dyDescent="0.25">
      <c r="A34" t="s">
        <v>137</v>
      </c>
      <c r="B34" t="s">
        <v>138</v>
      </c>
      <c r="C34" t="s">
        <v>59</v>
      </c>
      <c r="D34" s="2"/>
      <c r="E34" s="2"/>
      <c r="F34" s="2"/>
      <c r="G34" t="s">
        <v>35</v>
      </c>
      <c r="H34" t="s">
        <v>140</v>
      </c>
    </row>
    <row r="35" spans="1:8" x14ac:dyDescent="0.25">
      <c r="A35" t="s">
        <v>217</v>
      </c>
      <c r="B35" t="s">
        <v>14</v>
      </c>
      <c r="C35" t="s">
        <v>59</v>
      </c>
      <c r="D35" s="2">
        <v>87.849813609051793</v>
      </c>
      <c r="E35" s="2">
        <v>90.623324882552197</v>
      </c>
      <c r="F35" s="2">
        <v>90.760454614674202</v>
      </c>
      <c r="G35" t="s">
        <v>22</v>
      </c>
      <c r="H35" t="s">
        <v>218</v>
      </c>
    </row>
    <row r="36" spans="1:8" x14ac:dyDescent="0.25">
      <c r="A36" t="s">
        <v>219</v>
      </c>
      <c r="B36" t="s">
        <v>14</v>
      </c>
      <c r="C36" t="s">
        <v>59</v>
      </c>
      <c r="D36" s="2">
        <v>12.1501863909482</v>
      </c>
      <c r="E36" s="2">
        <v>9.3766751174478404</v>
      </c>
      <c r="F36" s="2">
        <v>9.2395453853258207</v>
      </c>
      <c r="G36" t="s">
        <v>22</v>
      </c>
      <c r="H36" t="s">
        <v>220</v>
      </c>
    </row>
    <row r="37" spans="1:8" x14ac:dyDescent="0.25">
      <c r="A37" t="s">
        <v>144</v>
      </c>
      <c r="B37" t="s">
        <v>14</v>
      </c>
      <c r="C37" t="s">
        <v>59</v>
      </c>
      <c r="D37" s="2">
        <v>7.2911587344732904</v>
      </c>
      <c r="E37" s="2">
        <v>17.2860715342484</v>
      </c>
      <c r="F37" s="2">
        <v>36.356586502325399</v>
      </c>
      <c r="G37" t="s">
        <v>35</v>
      </c>
      <c r="H37" t="s">
        <v>145</v>
      </c>
    </row>
    <row r="38" spans="1:8" x14ac:dyDescent="0.25">
      <c r="A38" t="s">
        <v>146</v>
      </c>
      <c r="B38" t="s">
        <v>14</v>
      </c>
      <c r="C38" t="s">
        <v>59</v>
      </c>
      <c r="D38" s="2"/>
      <c r="E38" s="2"/>
      <c r="F38" s="2"/>
      <c r="G38" t="s">
        <v>35</v>
      </c>
      <c r="H38" t="s">
        <v>147</v>
      </c>
    </row>
    <row r="39" spans="1:8" x14ac:dyDescent="0.25">
      <c r="A39" t="s">
        <v>148</v>
      </c>
      <c r="B39" t="s">
        <v>14</v>
      </c>
      <c r="C39" t="s">
        <v>59</v>
      </c>
      <c r="D39" s="2"/>
      <c r="E39" s="2"/>
      <c r="F39" s="2"/>
      <c r="G39" t="s">
        <v>35</v>
      </c>
      <c r="H39" t="s">
        <v>149</v>
      </c>
    </row>
    <row r="40" spans="1:8" x14ac:dyDescent="0.25">
      <c r="A40" t="s">
        <v>150</v>
      </c>
      <c r="B40" t="s">
        <v>14</v>
      </c>
      <c r="C40" t="s">
        <v>59</v>
      </c>
      <c r="D40" s="2"/>
      <c r="E40" s="2"/>
      <c r="F40" s="2"/>
      <c r="G40" t="s">
        <v>35</v>
      </c>
      <c r="H40" t="s">
        <v>151</v>
      </c>
    </row>
    <row r="41" spans="1:8" x14ac:dyDescent="0.25">
      <c r="A41" t="s">
        <v>152</v>
      </c>
      <c r="B41" t="s">
        <v>14</v>
      </c>
      <c r="C41" t="s">
        <v>59</v>
      </c>
      <c r="D41" s="2"/>
      <c r="E41" s="2"/>
      <c r="F41" s="2"/>
      <c r="G41" t="s">
        <v>35</v>
      </c>
      <c r="H41" t="s">
        <v>153</v>
      </c>
    </row>
    <row r="42" spans="1:8" x14ac:dyDescent="0.25">
      <c r="A42" t="s">
        <v>164</v>
      </c>
      <c r="B42" t="s">
        <v>59</v>
      </c>
      <c r="C42" t="s">
        <v>59</v>
      </c>
      <c r="D42" s="2">
        <v>1.83</v>
      </c>
      <c r="E42" s="2">
        <v>1.33</v>
      </c>
      <c r="F42" s="2">
        <v>1.4</v>
      </c>
      <c r="G42" t="s">
        <v>165</v>
      </c>
      <c r="H42" t="s">
        <v>166</v>
      </c>
    </row>
    <row r="43" spans="1:8" x14ac:dyDescent="0.25">
      <c r="A43" t="s">
        <v>167</v>
      </c>
      <c r="B43" t="s">
        <v>101</v>
      </c>
      <c r="C43" t="s">
        <v>59</v>
      </c>
      <c r="D43" s="2">
        <v>11</v>
      </c>
      <c r="E43" s="2">
        <v>8</v>
      </c>
      <c r="F43" s="2">
        <v>7</v>
      </c>
      <c r="G43" t="s">
        <v>168</v>
      </c>
      <c r="H43" t="s">
        <v>59</v>
      </c>
    </row>
    <row r="44" spans="1:8" x14ac:dyDescent="0.25">
      <c r="A44" t="s">
        <v>169</v>
      </c>
      <c r="B44" t="s">
        <v>101</v>
      </c>
      <c r="C44" t="s">
        <v>59</v>
      </c>
      <c r="D44" s="2">
        <v>6</v>
      </c>
      <c r="E44" s="2">
        <v>6</v>
      </c>
      <c r="F44" s="2">
        <v>5</v>
      </c>
      <c r="G44" t="s">
        <v>168</v>
      </c>
      <c r="H44" t="s">
        <v>59</v>
      </c>
    </row>
    <row r="45" spans="1:8" x14ac:dyDescent="0.25">
      <c r="A45" t="s">
        <v>221</v>
      </c>
      <c r="B45" t="s">
        <v>14</v>
      </c>
      <c r="C45" t="s">
        <v>59</v>
      </c>
      <c r="D45" s="2">
        <v>27.27</v>
      </c>
      <c r="E45" s="2">
        <v>37.5</v>
      </c>
      <c r="F45" s="2">
        <v>42.86</v>
      </c>
      <c r="G45" t="s">
        <v>59</v>
      </c>
      <c r="H45" t="s">
        <v>222</v>
      </c>
    </row>
    <row r="46" spans="1:8" x14ac:dyDescent="0.25">
      <c r="A46" t="s">
        <v>223</v>
      </c>
      <c r="B46" t="s">
        <v>14</v>
      </c>
      <c r="C46" t="s">
        <v>59</v>
      </c>
      <c r="D46" s="2">
        <v>0</v>
      </c>
      <c r="E46" s="2">
        <v>0</v>
      </c>
      <c r="F46" s="2">
        <v>0</v>
      </c>
      <c r="G46" t="s">
        <v>59</v>
      </c>
      <c r="H46" t="s">
        <v>224</v>
      </c>
    </row>
    <row r="47" spans="1:8" x14ac:dyDescent="0.25">
      <c r="A47" t="s">
        <v>225</v>
      </c>
      <c r="B47" t="s">
        <v>14</v>
      </c>
      <c r="C47" t="s">
        <v>59</v>
      </c>
      <c r="D47" s="2">
        <v>100</v>
      </c>
      <c r="E47" s="2">
        <v>100</v>
      </c>
      <c r="F47" s="2">
        <v>100</v>
      </c>
      <c r="G47" t="s">
        <v>59</v>
      </c>
      <c r="H47" t="s">
        <v>226</v>
      </c>
    </row>
    <row r="48" spans="1:8" x14ac:dyDescent="0.25">
      <c r="A48" t="s">
        <v>188</v>
      </c>
      <c r="B48" t="s">
        <v>59</v>
      </c>
      <c r="C48" t="s">
        <v>59</v>
      </c>
      <c r="D48" s="2">
        <v>0</v>
      </c>
      <c r="E48" s="2">
        <v>0</v>
      </c>
      <c r="F48" s="2">
        <v>0</v>
      </c>
      <c r="G48" t="s">
        <v>186</v>
      </c>
      <c r="H48" t="s">
        <v>189</v>
      </c>
    </row>
    <row r="49" spans="1:8" x14ac:dyDescent="0.25">
      <c r="A49" t="s">
        <v>190</v>
      </c>
      <c r="B49" t="s">
        <v>59</v>
      </c>
      <c r="C49" t="s">
        <v>59</v>
      </c>
      <c r="D49" s="2">
        <v>0</v>
      </c>
      <c r="E49" s="2">
        <v>0</v>
      </c>
      <c r="F49" s="2">
        <v>0</v>
      </c>
      <c r="G49" t="s">
        <v>191</v>
      </c>
      <c r="H49" t="s">
        <v>192</v>
      </c>
    </row>
    <row r="50" spans="1:8" x14ac:dyDescent="0.25">
      <c r="A50" t="s">
        <v>193</v>
      </c>
      <c r="B50" t="s">
        <v>59</v>
      </c>
      <c r="C50" t="s">
        <v>59</v>
      </c>
      <c r="D50" s="2">
        <v>0</v>
      </c>
      <c r="E50" s="2">
        <v>0</v>
      </c>
      <c r="F50" s="2">
        <v>0</v>
      </c>
      <c r="G50" t="s">
        <v>191</v>
      </c>
      <c r="H50" t="s">
        <v>194</v>
      </c>
    </row>
    <row r="51" spans="1:8" x14ac:dyDescent="0.25">
      <c r="A51" t="s">
        <v>195</v>
      </c>
      <c r="B51" t="s">
        <v>196</v>
      </c>
      <c r="C51" t="s">
        <v>59</v>
      </c>
      <c r="D51" s="2">
        <v>0</v>
      </c>
      <c r="E51" s="2">
        <v>0</v>
      </c>
      <c r="F51" s="2">
        <v>0</v>
      </c>
      <c r="G51" t="s">
        <v>39</v>
      </c>
      <c r="H51" t="s">
        <v>197</v>
      </c>
    </row>
    <row r="52" spans="1:8" x14ac:dyDescent="0.25">
      <c r="A52" t="s">
        <v>198</v>
      </c>
      <c r="B52" t="s">
        <v>196</v>
      </c>
      <c r="C52" t="s">
        <v>59</v>
      </c>
      <c r="D52" s="2">
        <v>0</v>
      </c>
      <c r="E52" s="2">
        <v>0</v>
      </c>
      <c r="F52" s="2">
        <v>0</v>
      </c>
      <c r="G52" t="s">
        <v>22</v>
      </c>
      <c r="H52" t="s">
        <v>199</v>
      </c>
    </row>
    <row r="53" spans="1:8" x14ac:dyDescent="0.25">
      <c r="A53" t="s">
        <v>200</v>
      </c>
      <c r="B53" t="s">
        <v>201</v>
      </c>
      <c r="C53" t="s">
        <v>59</v>
      </c>
      <c r="D53" s="2">
        <v>0</v>
      </c>
      <c r="E53" s="2">
        <v>0</v>
      </c>
      <c r="F53" s="2">
        <v>0</v>
      </c>
      <c r="G53" t="s">
        <v>202</v>
      </c>
      <c r="H53" t="s">
        <v>59</v>
      </c>
    </row>
    <row r="54" spans="1:8" x14ac:dyDescent="0.25">
      <c r="A54" t="s">
        <v>203</v>
      </c>
      <c r="B54" t="s">
        <v>204</v>
      </c>
      <c r="C54" t="s">
        <v>59</v>
      </c>
      <c r="D54" s="2">
        <v>0.45500000000000002</v>
      </c>
      <c r="E54" s="2">
        <v>0.625</v>
      </c>
      <c r="F54" s="2">
        <v>0.14299999999999999</v>
      </c>
      <c r="G54" t="s">
        <v>205</v>
      </c>
      <c r="H54" t="s">
        <v>59</v>
      </c>
    </row>
    <row r="55" spans="1:8" x14ac:dyDescent="0.25">
      <c r="A55" t="s">
        <v>206</v>
      </c>
      <c r="B55" t="s">
        <v>207</v>
      </c>
      <c r="C55" t="s">
        <v>59</v>
      </c>
      <c r="D55" s="2">
        <v>2.31</v>
      </c>
      <c r="E55" s="2">
        <v>2.0710000000000002</v>
      </c>
      <c r="F55" s="2">
        <v>0.59099999999999997</v>
      </c>
      <c r="G55" t="s">
        <v>205</v>
      </c>
      <c r="H55" t="s">
        <v>59</v>
      </c>
    </row>
    <row r="56" spans="1:8" x14ac:dyDescent="0.25">
      <c r="A56" t="s">
        <v>208</v>
      </c>
      <c r="B56" t="s">
        <v>14</v>
      </c>
      <c r="C56" t="s">
        <v>59</v>
      </c>
      <c r="D56" s="2">
        <v>0</v>
      </c>
      <c r="E56" s="2">
        <v>0</v>
      </c>
      <c r="F56" s="2">
        <v>0</v>
      </c>
      <c r="G56" t="s">
        <v>59</v>
      </c>
      <c r="H56" t="s">
        <v>209</v>
      </c>
    </row>
    <row r="57" spans="1:8" x14ac:dyDescent="0.25">
      <c r="A57" t="s">
        <v>210</v>
      </c>
      <c r="B57" t="s">
        <v>14</v>
      </c>
      <c r="C57" t="s">
        <v>59</v>
      </c>
      <c r="D57" s="2">
        <v>9.09</v>
      </c>
      <c r="E57" s="2">
        <v>12.5</v>
      </c>
      <c r="F57" s="2">
        <v>0</v>
      </c>
      <c r="G57" t="s">
        <v>59</v>
      </c>
      <c r="H57" t="s">
        <v>211</v>
      </c>
    </row>
    <row r="58" spans="1:8" x14ac:dyDescent="0.25">
      <c r="A58" t="s">
        <v>212</v>
      </c>
      <c r="B58" t="s">
        <v>14</v>
      </c>
      <c r="C58" t="s">
        <v>59</v>
      </c>
      <c r="D58" s="2">
        <v>0</v>
      </c>
      <c r="E58" s="2">
        <v>0</v>
      </c>
      <c r="F58" s="2">
        <v>0</v>
      </c>
      <c r="G58" t="s">
        <v>59</v>
      </c>
      <c r="H58" t="s">
        <v>213</v>
      </c>
    </row>
    <row r="59" spans="1:8" x14ac:dyDescent="0.25">
      <c r="A59" t="s">
        <v>214</v>
      </c>
      <c r="B59" t="s">
        <v>14</v>
      </c>
      <c r="C59" t="s">
        <v>59</v>
      </c>
      <c r="D59" s="2">
        <v>0</v>
      </c>
      <c r="E59" s="2">
        <v>0</v>
      </c>
      <c r="F59" s="2">
        <v>0</v>
      </c>
      <c r="G59" t="s">
        <v>59</v>
      </c>
      <c r="H59" t="s">
        <v>215</v>
      </c>
    </row>
    <row r="60" spans="1:8" x14ac:dyDescent="0.25">
      <c r="A60" t="s">
        <v>227</v>
      </c>
      <c r="B60" t="s">
        <v>207</v>
      </c>
      <c r="C60" t="s">
        <v>59</v>
      </c>
      <c r="D60" s="2">
        <v>0</v>
      </c>
      <c r="E60" s="2">
        <v>0</v>
      </c>
      <c r="F60" s="2">
        <v>0</v>
      </c>
      <c r="G60" t="s">
        <v>228</v>
      </c>
      <c r="H60" t="s">
        <v>59</v>
      </c>
    </row>
    <row r="61" spans="1:8" x14ac:dyDescent="0.25">
      <c r="A61" t="s">
        <v>229</v>
      </c>
      <c r="B61" t="s">
        <v>207</v>
      </c>
      <c r="C61" t="s">
        <v>59</v>
      </c>
      <c r="D61" s="2">
        <v>0</v>
      </c>
      <c r="E61" s="2">
        <v>0</v>
      </c>
      <c r="F61" s="2">
        <v>0</v>
      </c>
      <c r="G61" t="s">
        <v>228</v>
      </c>
      <c r="H61" t="s">
        <v>59</v>
      </c>
    </row>
    <row r="62" spans="1:8" x14ac:dyDescent="0.25">
      <c r="A62" t="s">
        <v>230</v>
      </c>
      <c r="B62" t="s">
        <v>207</v>
      </c>
      <c r="C62" t="s">
        <v>59</v>
      </c>
      <c r="D62" s="2">
        <v>0</v>
      </c>
      <c r="E62" s="2">
        <v>0</v>
      </c>
      <c r="F62" s="2">
        <v>0</v>
      </c>
      <c r="G62" t="s">
        <v>228</v>
      </c>
      <c r="H62" t="s">
        <v>59</v>
      </c>
    </row>
    <row r="63" spans="1:8" x14ac:dyDescent="0.25">
      <c r="A63" t="s">
        <v>231</v>
      </c>
      <c r="B63" t="s">
        <v>207</v>
      </c>
      <c r="C63" t="s">
        <v>59</v>
      </c>
      <c r="D63" s="2">
        <v>0</v>
      </c>
      <c r="E63" s="2">
        <v>0</v>
      </c>
      <c r="F63" s="2">
        <v>0</v>
      </c>
      <c r="G63" t="s">
        <v>228</v>
      </c>
      <c r="H63" t="s">
        <v>59</v>
      </c>
    </row>
    <row r="64" spans="1:8" x14ac:dyDescent="0.25">
      <c r="A64" t="s">
        <v>232</v>
      </c>
      <c r="B64" t="s">
        <v>207</v>
      </c>
      <c r="C64" t="s">
        <v>59</v>
      </c>
      <c r="D64" s="2">
        <v>0</v>
      </c>
      <c r="E64" s="2">
        <v>0</v>
      </c>
      <c r="F64" s="2">
        <v>0</v>
      </c>
      <c r="G64" t="s">
        <v>228</v>
      </c>
      <c r="H64" t="s">
        <v>59</v>
      </c>
    </row>
    <row r="65" spans="1:8" x14ac:dyDescent="0.25">
      <c r="A65" t="s">
        <v>233</v>
      </c>
      <c r="B65" t="s">
        <v>207</v>
      </c>
      <c r="C65" t="s">
        <v>59</v>
      </c>
      <c r="D65" s="2">
        <v>0</v>
      </c>
      <c r="E65" s="2">
        <v>0</v>
      </c>
      <c r="F65" s="2">
        <v>0</v>
      </c>
      <c r="G65" t="s">
        <v>228</v>
      </c>
      <c r="H65" t="s">
        <v>59</v>
      </c>
    </row>
    <row r="66" spans="1:8" x14ac:dyDescent="0.25">
      <c r="A66" t="s">
        <v>234</v>
      </c>
      <c r="B66" t="s">
        <v>207</v>
      </c>
      <c r="C66" t="s">
        <v>59</v>
      </c>
      <c r="D66" s="2">
        <v>0</v>
      </c>
      <c r="E66" s="2">
        <v>0</v>
      </c>
      <c r="F66" s="2">
        <v>0</v>
      </c>
      <c r="G66" t="s">
        <v>228</v>
      </c>
      <c r="H66" t="s">
        <v>59</v>
      </c>
    </row>
    <row r="67" spans="1:8" x14ac:dyDescent="0.25">
      <c r="A67" t="s">
        <v>235</v>
      </c>
      <c r="B67" t="s">
        <v>207</v>
      </c>
      <c r="C67" t="s">
        <v>59</v>
      </c>
      <c r="D67" s="2">
        <v>1</v>
      </c>
      <c r="E67" s="2">
        <v>1</v>
      </c>
      <c r="F67" s="2">
        <v>1</v>
      </c>
      <c r="G67" t="s">
        <v>228</v>
      </c>
      <c r="H67" t="s">
        <v>59</v>
      </c>
    </row>
    <row r="68" spans="1:8" x14ac:dyDescent="0.25">
      <c r="A68" t="s">
        <v>236</v>
      </c>
      <c r="B68" t="s">
        <v>207</v>
      </c>
      <c r="C68" t="s">
        <v>59</v>
      </c>
      <c r="D68" s="2">
        <v>0</v>
      </c>
      <c r="E68" s="2">
        <v>0</v>
      </c>
      <c r="F68" s="2">
        <v>0</v>
      </c>
      <c r="G68" t="s">
        <v>228</v>
      </c>
      <c r="H68" t="s">
        <v>59</v>
      </c>
    </row>
    <row r="69" spans="1:8" x14ac:dyDescent="0.25">
      <c r="A69" t="s">
        <v>237</v>
      </c>
      <c r="B69" t="s">
        <v>207</v>
      </c>
      <c r="C69" t="s">
        <v>59</v>
      </c>
      <c r="D69" s="2">
        <v>0</v>
      </c>
      <c r="E69" s="2">
        <v>0</v>
      </c>
      <c r="F69" s="2">
        <v>0</v>
      </c>
      <c r="G69" t="s">
        <v>228</v>
      </c>
      <c r="H69" t="s">
        <v>59</v>
      </c>
    </row>
    <row r="70" spans="1:8" x14ac:dyDescent="0.25">
      <c r="A70" t="s">
        <v>238</v>
      </c>
      <c r="B70" t="s">
        <v>207</v>
      </c>
      <c r="C70" t="s">
        <v>59</v>
      </c>
      <c r="D70" s="2">
        <v>0</v>
      </c>
      <c r="E70" s="2">
        <v>0</v>
      </c>
      <c r="F70" s="2">
        <v>0</v>
      </c>
      <c r="G70" t="s">
        <v>228</v>
      </c>
      <c r="H70" t="s">
        <v>59</v>
      </c>
    </row>
    <row r="71" spans="1:8" x14ac:dyDescent="0.25">
      <c r="A71" t="s">
        <v>239</v>
      </c>
      <c r="B71" t="s">
        <v>207</v>
      </c>
      <c r="C71" t="s">
        <v>59</v>
      </c>
      <c r="D71" s="2">
        <v>0</v>
      </c>
      <c r="E71" s="2">
        <v>0</v>
      </c>
      <c r="F71" s="2">
        <v>0</v>
      </c>
      <c r="G71" t="s">
        <v>228</v>
      </c>
      <c r="H71" t="s">
        <v>59</v>
      </c>
    </row>
    <row r="72" spans="1:8" x14ac:dyDescent="0.25">
      <c r="A72" t="s">
        <v>240</v>
      </c>
      <c r="B72" t="s">
        <v>59</v>
      </c>
      <c r="C72" t="s">
        <v>59</v>
      </c>
      <c r="D72" s="1" t="s">
        <v>59</v>
      </c>
      <c r="E72" s="1" t="s">
        <v>59</v>
      </c>
      <c r="F72" s="1" t="s">
        <v>59</v>
      </c>
      <c r="G72" t="s">
        <v>59</v>
      </c>
      <c r="H72" t="s">
        <v>59</v>
      </c>
    </row>
    <row r="73" spans="1:8" x14ac:dyDescent="0.25">
      <c r="A73" t="s">
        <v>241</v>
      </c>
      <c r="B73" t="s">
        <v>59</v>
      </c>
      <c r="C73" t="s">
        <v>59</v>
      </c>
      <c r="D73" s="1" t="s">
        <v>59</v>
      </c>
      <c r="E73" s="1" t="s">
        <v>59</v>
      </c>
      <c r="F73" s="1" t="s">
        <v>59</v>
      </c>
      <c r="G73" t="s">
        <v>59</v>
      </c>
      <c r="H73" t="s">
        <v>59</v>
      </c>
    </row>
    <row r="74" spans="1:8" x14ac:dyDescent="0.25">
      <c r="A74" t="s">
        <v>242</v>
      </c>
      <c r="B74" t="s">
        <v>14</v>
      </c>
      <c r="C74" t="s">
        <v>59</v>
      </c>
      <c r="D74" s="1" t="s">
        <v>59</v>
      </c>
      <c r="E74" s="1" t="s">
        <v>59</v>
      </c>
      <c r="F74" s="1" t="s">
        <v>59</v>
      </c>
      <c r="G74" t="s">
        <v>59</v>
      </c>
      <c r="H74" t="s">
        <v>59</v>
      </c>
    </row>
    <row r="75" spans="1:8" x14ac:dyDescent="0.25">
      <c r="A75" t="s">
        <v>243</v>
      </c>
      <c r="B75" t="s">
        <v>59</v>
      </c>
      <c r="C75" t="s">
        <v>59</v>
      </c>
      <c r="D75" s="1" t="s">
        <v>59</v>
      </c>
      <c r="E75" s="1" t="s">
        <v>59</v>
      </c>
      <c r="F75" s="1" t="s">
        <v>59</v>
      </c>
      <c r="G75" t="s">
        <v>59</v>
      </c>
      <c r="H75" t="s">
        <v>59</v>
      </c>
    </row>
    <row r="76" spans="1:8" x14ac:dyDescent="0.25">
      <c r="A76" t="s">
        <v>244</v>
      </c>
      <c r="B76" t="s">
        <v>59</v>
      </c>
      <c r="C76" t="s">
        <v>59</v>
      </c>
      <c r="D76" s="1" t="s">
        <v>59</v>
      </c>
      <c r="E76" s="1" t="s">
        <v>59</v>
      </c>
      <c r="F76" s="1" t="s">
        <v>59</v>
      </c>
      <c r="G76" t="s">
        <v>59</v>
      </c>
      <c r="H76" t="s">
        <v>59</v>
      </c>
    </row>
    <row r="77" spans="1:8" x14ac:dyDescent="0.25">
      <c r="A77" t="s">
        <v>245</v>
      </c>
      <c r="B77" t="s">
        <v>14</v>
      </c>
      <c r="C77" t="s">
        <v>59</v>
      </c>
      <c r="D77" s="1" t="s">
        <v>59</v>
      </c>
      <c r="E77" s="1" t="s">
        <v>59</v>
      </c>
      <c r="F77" s="1" t="s">
        <v>59</v>
      </c>
      <c r="G77" t="s">
        <v>59</v>
      </c>
      <c r="H77" t="s">
        <v>59</v>
      </c>
    </row>
    <row r="78" spans="1:8" x14ac:dyDescent="0.25">
      <c r="A78" t="s">
        <v>246</v>
      </c>
      <c r="B78" t="s">
        <v>59</v>
      </c>
      <c r="C78" t="s">
        <v>59</v>
      </c>
      <c r="D78" s="1" t="s">
        <v>59</v>
      </c>
      <c r="E78" s="1" t="s">
        <v>59</v>
      </c>
      <c r="F78" s="1" t="s">
        <v>59</v>
      </c>
      <c r="G78" t="s">
        <v>59</v>
      </c>
      <c r="H78" t="s">
        <v>59</v>
      </c>
    </row>
    <row r="79" spans="1:8" x14ac:dyDescent="0.25">
      <c r="A79" t="s">
        <v>247</v>
      </c>
      <c r="B79" t="s">
        <v>59</v>
      </c>
      <c r="C79" t="s">
        <v>59</v>
      </c>
      <c r="D79" s="1" t="s">
        <v>59</v>
      </c>
      <c r="E79" s="1" t="s">
        <v>59</v>
      </c>
      <c r="F79" s="1" t="s">
        <v>59</v>
      </c>
      <c r="G79" t="s">
        <v>59</v>
      </c>
      <c r="H79" t="s">
        <v>59</v>
      </c>
    </row>
    <row r="80" spans="1:8" x14ac:dyDescent="0.25">
      <c r="A80" t="s">
        <v>248</v>
      </c>
      <c r="B80" t="s">
        <v>14</v>
      </c>
      <c r="C80" t="s">
        <v>59</v>
      </c>
      <c r="D80" s="1" t="s">
        <v>59</v>
      </c>
      <c r="E80" s="1" t="s">
        <v>59</v>
      </c>
      <c r="F80" s="1" t="s">
        <v>59</v>
      </c>
      <c r="G80" t="s">
        <v>59</v>
      </c>
      <c r="H80" t="s">
        <v>59</v>
      </c>
    </row>
    <row r="81" spans="1:8" x14ac:dyDescent="0.25">
      <c r="A81" t="s">
        <v>249</v>
      </c>
      <c r="B81" t="s">
        <v>59</v>
      </c>
      <c r="C81" t="s">
        <v>59</v>
      </c>
      <c r="D81" s="1" t="s">
        <v>59</v>
      </c>
      <c r="E81" s="1" t="s">
        <v>59</v>
      </c>
      <c r="F81" s="1" t="s">
        <v>59</v>
      </c>
      <c r="G81" t="s">
        <v>59</v>
      </c>
      <c r="H81" t="s">
        <v>59</v>
      </c>
    </row>
    <row r="82" spans="1:8" x14ac:dyDescent="0.25">
      <c r="A82" t="s">
        <v>250</v>
      </c>
      <c r="B82" t="s">
        <v>59</v>
      </c>
      <c r="C82" t="s">
        <v>59</v>
      </c>
      <c r="D82" s="1" t="s">
        <v>59</v>
      </c>
      <c r="E82" s="1" t="s">
        <v>59</v>
      </c>
      <c r="F82" s="1" t="s">
        <v>59</v>
      </c>
      <c r="G82" t="s">
        <v>59</v>
      </c>
      <c r="H82" t="s">
        <v>59</v>
      </c>
    </row>
    <row r="83" spans="1:8" x14ac:dyDescent="0.25">
      <c r="A83" t="s">
        <v>251</v>
      </c>
      <c r="B83" t="s">
        <v>14</v>
      </c>
      <c r="C83" t="s">
        <v>59</v>
      </c>
      <c r="D83" s="1" t="s">
        <v>59</v>
      </c>
      <c r="E83" s="1" t="s">
        <v>59</v>
      </c>
      <c r="F83" s="1" t="s">
        <v>59</v>
      </c>
      <c r="G83" t="s">
        <v>59</v>
      </c>
      <c r="H83" t="s">
        <v>59</v>
      </c>
    </row>
    <row r="84" spans="1:8" x14ac:dyDescent="0.25">
      <c r="A84" t="s">
        <v>252</v>
      </c>
      <c r="B84" t="s">
        <v>59</v>
      </c>
      <c r="C84" t="s">
        <v>59</v>
      </c>
      <c r="D84" s="1" t="s">
        <v>59</v>
      </c>
      <c r="E84" s="1" t="s">
        <v>59</v>
      </c>
      <c r="F84" s="1" t="s">
        <v>59</v>
      </c>
      <c r="G84" t="s">
        <v>59</v>
      </c>
      <c r="H84" t="s">
        <v>59</v>
      </c>
    </row>
    <row r="85" spans="1:8" x14ac:dyDescent="0.25">
      <c r="A85" t="s">
        <v>253</v>
      </c>
      <c r="B85" t="s">
        <v>59</v>
      </c>
      <c r="C85" t="s">
        <v>59</v>
      </c>
      <c r="D85" s="1" t="s">
        <v>59</v>
      </c>
      <c r="E85" s="1" t="s">
        <v>59</v>
      </c>
      <c r="F85" s="1" t="s">
        <v>59</v>
      </c>
      <c r="G85" t="s">
        <v>59</v>
      </c>
      <c r="H85" t="s">
        <v>59</v>
      </c>
    </row>
    <row r="86" spans="1:8" x14ac:dyDescent="0.25">
      <c r="A86" t="s">
        <v>254</v>
      </c>
      <c r="B86" t="s">
        <v>14</v>
      </c>
      <c r="C86" t="s">
        <v>59</v>
      </c>
      <c r="D86" s="1" t="s">
        <v>59</v>
      </c>
      <c r="E86" s="1" t="s">
        <v>59</v>
      </c>
      <c r="F86" s="1" t="s">
        <v>59</v>
      </c>
      <c r="G86" t="s">
        <v>59</v>
      </c>
      <c r="H86" t="s">
        <v>59</v>
      </c>
    </row>
    <row r="87" spans="1:8" x14ac:dyDescent="0.25">
      <c r="A87" t="s">
        <v>255</v>
      </c>
      <c r="B87" t="s">
        <v>59</v>
      </c>
      <c r="C87" t="s">
        <v>59</v>
      </c>
      <c r="D87" s="1" t="s">
        <v>59</v>
      </c>
      <c r="E87" s="1" t="s">
        <v>59</v>
      </c>
      <c r="F87" s="1" t="s">
        <v>59</v>
      </c>
      <c r="G87" t="s">
        <v>59</v>
      </c>
      <c r="H87" t="s">
        <v>59</v>
      </c>
    </row>
    <row r="88" spans="1:8" x14ac:dyDescent="0.25">
      <c r="A88" t="s">
        <v>256</v>
      </c>
      <c r="B88" t="s">
        <v>59</v>
      </c>
      <c r="C88" t="s">
        <v>59</v>
      </c>
      <c r="D88" s="1" t="s">
        <v>59</v>
      </c>
      <c r="E88" s="1" t="s">
        <v>59</v>
      </c>
      <c r="F88" s="1" t="s">
        <v>59</v>
      </c>
      <c r="G88" t="s">
        <v>59</v>
      </c>
      <c r="H88" t="s">
        <v>59</v>
      </c>
    </row>
    <row r="89" spans="1:8" x14ac:dyDescent="0.25">
      <c r="A89" t="s">
        <v>257</v>
      </c>
      <c r="B89" t="s">
        <v>14</v>
      </c>
      <c r="C89" t="s">
        <v>59</v>
      </c>
      <c r="D89" s="1" t="s">
        <v>59</v>
      </c>
      <c r="E89" s="1" t="s">
        <v>59</v>
      </c>
      <c r="F89" s="1" t="s">
        <v>59</v>
      </c>
      <c r="G89" t="s">
        <v>59</v>
      </c>
      <c r="H89" t="s">
        <v>59</v>
      </c>
    </row>
    <row r="90" spans="1:8" x14ac:dyDescent="0.25">
      <c r="A90" t="s">
        <v>258</v>
      </c>
      <c r="B90" t="s">
        <v>59</v>
      </c>
      <c r="C90" t="s">
        <v>59</v>
      </c>
      <c r="D90" s="1" t="s">
        <v>59</v>
      </c>
      <c r="E90" s="1" t="s">
        <v>59</v>
      </c>
      <c r="F90" s="1" t="s">
        <v>59</v>
      </c>
      <c r="G90" t="s">
        <v>59</v>
      </c>
      <c r="H90" t="s">
        <v>59</v>
      </c>
    </row>
    <row r="91" spans="1:8" x14ac:dyDescent="0.25">
      <c r="A91" t="s">
        <v>259</v>
      </c>
      <c r="B91" t="s">
        <v>59</v>
      </c>
      <c r="C91" t="s">
        <v>59</v>
      </c>
      <c r="D91" s="1" t="s">
        <v>59</v>
      </c>
      <c r="E91" s="1" t="s">
        <v>59</v>
      </c>
      <c r="F91" s="1" t="s">
        <v>59</v>
      </c>
      <c r="G91" t="s">
        <v>59</v>
      </c>
      <c r="H91" t="s">
        <v>59</v>
      </c>
    </row>
    <row r="92" spans="1:8" x14ac:dyDescent="0.25">
      <c r="A92" t="s">
        <v>260</v>
      </c>
      <c r="B92" t="s">
        <v>14</v>
      </c>
      <c r="C92" t="s">
        <v>59</v>
      </c>
      <c r="D92" s="1" t="s">
        <v>59</v>
      </c>
      <c r="E92" s="1" t="s">
        <v>59</v>
      </c>
      <c r="F92" s="1" t="s">
        <v>59</v>
      </c>
      <c r="G92" t="s">
        <v>59</v>
      </c>
      <c r="H92" t="s">
        <v>59</v>
      </c>
    </row>
    <row r="93" spans="1:8" x14ac:dyDescent="0.25">
      <c r="A93" t="s">
        <v>261</v>
      </c>
      <c r="B93" t="s">
        <v>59</v>
      </c>
      <c r="C93" t="s">
        <v>59</v>
      </c>
      <c r="D93" s="1" t="s">
        <v>59</v>
      </c>
      <c r="E93" s="1" t="s">
        <v>59</v>
      </c>
      <c r="F93" s="1" t="s">
        <v>59</v>
      </c>
      <c r="G93" t="s">
        <v>59</v>
      </c>
      <c r="H93" t="s">
        <v>59</v>
      </c>
    </row>
    <row r="94" spans="1:8" x14ac:dyDescent="0.25">
      <c r="A94" t="s">
        <v>262</v>
      </c>
      <c r="B94" t="s">
        <v>59</v>
      </c>
      <c r="C94" t="s">
        <v>59</v>
      </c>
      <c r="D94" s="1" t="s">
        <v>59</v>
      </c>
      <c r="E94" s="1" t="s">
        <v>59</v>
      </c>
      <c r="F94" s="1" t="s">
        <v>59</v>
      </c>
      <c r="G94" t="s">
        <v>59</v>
      </c>
      <c r="H94" t="s">
        <v>59</v>
      </c>
    </row>
    <row r="95" spans="1:8" x14ac:dyDescent="0.25">
      <c r="A95" t="s">
        <v>263</v>
      </c>
      <c r="B95" t="s">
        <v>14</v>
      </c>
      <c r="C95" t="s">
        <v>59</v>
      </c>
      <c r="D95" s="1" t="s">
        <v>59</v>
      </c>
      <c r="E95" s="1" t="s">
        <v>59</v>
      </c>
      <c r="F95" s="1" t="s">
        <v>59</v>
      </c>
      <c r="G95" t="s">
        <v>59</v>
      </c>
      <c r="H95" t="s">
        <v>59</v>
      </c>
    </row>
    <row r="96" spans="1:8" x14ac:dyDescent="0.25">
      <c r="A96" t="s">
        <v>264</v>
      </c>
      <c r="B96" t="s">
        <v>59</v>
      </c>
      <c r="C96" t="s">
        <v>59</v>
      </c>
      <c r="D96" s="1" t="s">
        <v>59</v>
      </c>
      <c r="E96" s="1" t="s">
        <v>59</v>
      </c>
      <c r="F96" s="1" t="s">
        <v>59</v>
      </c>
      <c r="G96" t="s">
        <v>59</v>
      </c>
      <c r="H96" t="s">
        <v>59</v>
      </c>
    </row>
    <row r="97" spans="1:8" x14ac:dyDescent="0.25">
      <c r="A97" t="s">
        <v>265</v>
      </c>
      <c r="B97" t="s">
        <v>59</v>
      </c>
      <c r="C97" t="s">
        <v>59</v>
      </c>
      <c r="D97" s="1" t="s">
        <v>59</v>
      </c>
      <c r="E97" s="1" t="s">
        <v>59</v>
      </c>
      <c r="F97" s="1" t="s">
        <v>59</v>
      </c>
      <c r="G97" t="s">
        <v>59</v>
      </c>
      <c r="H97" t="s">
        <v>59</v>
      </c>
    </row>
    <row r="98" spans="1:8" x14ac:dyDescent="0.25">
      <c r="A98" t="s">
        <v>266</v>
      </c>
      <c r="B98" t="s">
        <v>14</v>
      </c>
      <c r="C98" t="s">
        <v>59</v>
      </c>
      <c r="D98" s="1" t="s">
        <v>59</v>
      </c>
      <c r="E98" s="1" t="s">
        <v>59</v>
      </c>
      <c r="F98" s="1" t="s">
        <v>59</v>
      </c>
      <c r="G98" t="s">
        <v>59</v>
      </c>
      <c r="H98" t="s">
        <v>59</v>
      </c>
    </row>
    <row r="99" spans="1:8" x14ac:dyDescent="0.25">
      <c r="A99" t="s">
        <v>267</v>
      </c>
      <c r="B99" t="s">
        <v>59</v>
      </c>
      <c r="C99" t="s">
        <v>59</v>
      </c>
      <c r="D99" s="1" t="s">
        <v>59</v>
      </c>
      <c r="E99" s="1" t="s">
        <v>59</v>
      </c>
      <c r="F99" s="1" t="s">
        <v>59</v>
      </c>
      <c r="G99" t="s">
        <v>59</v>
      </c>
      <c r="H99" t="s">
        <v>59</v>
      </c>
    </row>
    <row r="100" spans="1:8" x14ac:dyDescent="0.25">
      <c r="A100" t="s">
        <v>268</v>
      </c>
      <c r="B100" t="s">
        <v>59</v>
      </c>
      <c r="C100" t="s">
        <v>59</v>
      </c>
      <c r="D100" s="1" t="s">
        <v>59</v>
      </c>
      <c r="E100" s="1" t="s">
        <v>59</v>
      </c>
      <c r="F100" s="1" t="s">
        <v>59</v>
      </c>
      <c r="G100" t="s">
        <v>59</v>
      </c>
      <c r="H100" t="s">
        <v>59</v>
      </c>
    </row>
    <row r="101" spans="1:8" x14ac:dyDescent="0.25">
      <c r="A101" t="s">
        <v>269</v>
      </c>
      <c r="B101" t="s">
        <v>14</v>
      </c>
      <c r="C101" t="s">
        <v>59</v>
      </c>
      <c r="D101" s="1" t="s">
        <v>59</v>
      </c>
      <c r="E101" s="1" t="s">
        <v>59</v>
      </c>
      <c r="F101" s="1" t="s">
        <v>59</v>
      </c>
      <c r="G101" t="s">
        <v>59</v>
      </c>
      <c r="H101" t="s">
        <v>59</v>
      </c>
    </row>
  </sheetData>
  <phoneticPr fontId="10" type="noConversion"/>
  <pageMargins left="0.69930555555555596" right="0.69930555555555596" top="0.75" bottom="0.75" header="0.3" footer="0.3"/>
  <ignoredErrors>
    <ignoredError sqref="G2:H31 A2:C31 A1:H1 A72:H101 A34:C71 G34:H7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44</vt:i4>
      </vt:variant>
    </vt:vector>
  </HeadingPairs>
  <TitlesOfParts>
    <vt:vector size="44" baseType="lpstr">
      <vt:lpstr>医院</vt:lpstr>
      <vt:lpstr>大心血管科</vt:lpstr>
      <vt:lpstr>心血管内科</vt:lpstr>
      <vt:lpstr>心脏外科</vt:lpstr>
      <vt:lpstr>大骨科</vt:lpstr>
      <vt:lpstr>脊柱外科</vt:lpstr>
      <vt:lpstr>创伤骨科</vt:lpstr>
      <vt:lpstr>关节骨病科</vt:lpstr>
      <vt:lpstr>妇科</vt:lpstr>
      <vt:lpstr>头颈乳腺外科</vt:lpstr>
      <vt:lpstr>胃肠外科</vt:lpstr>
      <vt:lpstr>胸外科</vt:lpstr>
      <vt:lpstr>神经外科</vt:lpstr>
      <vt:lpstr>肝胆外科</vt:lpstr>
      <vt:lpstr>泌尿外科</vt:lpstr>
      <vt:lpstr>麻醉科</vt:lpstr>
      <vt:lpstr>呼吸内科</vt:lpstr>
      <vt:lpstr>消化内科</vt:lpstr>
      <vt:lpstr>康复医学科</vt:lpstr>
      <vt:lpstr>血液内科</vt:lpstr>
      <vt:lpstr>神经内科</vt:lpstr>
      <vt:lpstr>放射治疗科</vt:lpstr>
      <vt:lpstr>肾内科</vt:lpstr>
      <vt:lpstr>重症医学科</vt:lpstr>
      <vt:lpstr>内分泌内科</vt:lpstr>
      <vt:lpstr>眼科</vt:lpstr>
      <vt:lpstr>耳鼻喉科</vt:lpstr>
      <vt:lpstr>疼痛科</vt:lpstr>
      <vt:lpstr>口腔科</vt:lpstr>
      <vt:lpstr>烧伤整形科</vt:lpstr>
      <vt:lpstr>肛肠科</vt:lpstr>
      <vt:lpstr>产科</vt:lpstr>
      <vt:lpstr>小儿外科</vt:lpstr>
      <vt:lpstr>中医科</vt:lpstr>
      <vt:lpstr>全科医学科</vt:lpstr>
      <vt:lpstr>肿瘤内科</vt:lpstr>
      <vt:lpstr>皮肤科</vt:lpstr>
      <vt:lpstr>急诊科</vt:lpstr>
      <vt:lpstr>风湿免疫内科</vt:lpstr>
      <vt:lpstr>市区分院</vt:lpstr>
      <vt:lpstr>儿科</vt:lpstr>
      <vt:lpstr>新生儿科</vt:lpstr>
      <vt:lpstr>儿童康复科</vt:lpstr>
      <vt:lpstr>生殖中心</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2022-07-06T03:21:00Z</dcterms:created>
  <dcterms:modified xsi:type="dcterms:W3CDTF">2022-08-19T02:03:56Z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15E2F67A709540F2B83AB9972C7A6649</vt:lpwstr>
  </property>
  <property fmtid="{D5CDD505-2E9C-101B-9397-08002B2CF9AE}" pid="3" name="KSOProductBuildVer">
    <vt:lpwstr>2052-10.1.0.7224</vt:lpwstr>
  </property>
</Properties>
</file>